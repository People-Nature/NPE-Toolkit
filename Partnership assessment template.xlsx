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ffionline-my.sharepoint.com/personal/aainsworth_fauna-flora_org/Documents/ELSP 2/"/>
    </mc:Choice>
  </mc:AlternateContent>
  <xr:revisionPtr revIDLastSave="0" documentId="8_{6467202A-9978-4BA9-A802-BFAC84266240}" xr6:coauthVersionLast="47" xr6:coauthVersionMax="47" xr10:uidLastSave="{00000000-0000-0000-0000-000000000000}"/>
  <bookViews>
    <workbookView xWindow="-28920" yWindow="-120" windowWidth="29040" windowHeight="15720" firstSheet="2" activeTab="2" xr2:uid="{BF222DFE-98EC-40F6-A929-C1C8F2CE2ED4}"/>
  </bookViews>
  <sheets>
    <sheet name="Identifying Key Partners" sheetId="1" r:id="rId1"/>
    <sheet name="Partnership Potential Analysis" sheetId="2" r:id="rId2"/>
    <sheet name="Partnership Balance Matrix" sheetId="8" r:id="rId3"/>
    <sheet name="SWOT"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13" i="2" l="1"/>
  <c r="F7" i="2"/>
  <c r="F15" i="2"/>
  <c r="F14" i="2"/>
  <c r="F16" i="2"/>
  <c r="F10" i="2"/>
  <c r="F9" i="2"/>
  <c r="I10" i="2"/>
  <c r="J10" i="2" s="1"/>
  <c r="G7" i="2"/>
  <c r="G10" i="2"/>
  <c r="R10" i="2"/>
  <c r="S10" i="2" s="1"/>
  <c r="R9" i="2"/>
  <c r="S9" i="2" s="1"/>
  <c r="R8" i="2"/>
  <c r="S8" i="2" s="1"/>
  <c r="R25" i="2"/>
  <c r="S25" i="2" s="1"/>
  <c r="R24" i="2"/>
  <c r="S24" i="2" s="1"/>
  <c r="R23" i="2"/>
  <c r="S23" i="2" s="1"/>
  <c r="R22" i="2"/>
  <c r="S22" i="2" s="1"/>
  <c r="R21" i="2"/>
  <c r="S21" i="2" s="1"/>
  <c r="R20" i="2"/>
  <c r="S20" i="2" s="1"/>
  <c r="R19" i="2"/>
  <c r="S19" i="2" s="1"/>
  <c r="R18" i="2"/>
  <c r="S18" i="2" s="1"/>
  <c r="R17" i="2"/>
  <c r="S17" i="2" s="1"/>
  <c r="R16" i="2"/>
  <c r="S16" i="2" s="1"/>
  <c r="R15" i="2"/>
  <c r="S15" i="2" s="1"/>
  <c r="R14" i="2"/>
  <c r="S14" i="2" s="1"/>
  <c r="R13" i="2"/>
  <c r="S13" i="2" s="1"/>
  <c r="S26" i="2" s="1"/>
  <c r="Q27" i="2" s="1"/>
  <c r="R7" i="2"/>
  <c r="S7" i="2" s="1"/>
  <c r="S11" i="2" s="1"/>
  <c r="S12" i="2" s="1"/>
  <c r="O10" i="2"/>
  <c r="P10" i="2" s="1"/>
  <c r="O9" i="2"/>
  <c r="P9" i="2" s="1"/>
  <c r="O8" i="2"/>
  <c r="P8" i="2" s="1"/>
  <c r="O25" i="2"/>
  <c r="P25" i="2" s="1"/>
  <c r="O24" i="2"/>
  <c r="P24" i="2" s="1"/>
  <c r="O23" i="2"/>
  <c r="P23" i="2" s="1"/>
  <c r="O22" i="2"/>
  <c r="P22" i="2" s="1"/>
  <c r="O21" i="2"/>
  <c r="P21" i="2" s="1"/>
  <c r="O20" i="2"/>
  <c r="P20" i="2" s="1"/>
  <c r="O19" i="2"/>
  <c r="P19" i="2" s="1"/>
  <c r="O18" i="2"/>
  <c r="P18" i="2" s="1"/>
  <c r="O17" i="2"/>
  <c r="P17" i="2" s="1"/>
  <c r="O16" i="2"/>
  <c r="P16" i="2" s="1"/>
  <c r="O15" i="2"/>
  <c r="P15" i="2" s="1"/>
  <c r="O14" i="2"/>
  <c r="P14" i="2" s="1"/>
  <c r="O13" i="2"/>
  <c r="P13" i="2" s="1"/>
  <c r="P26" i="2" s="1"/>
  <c r="N27" i="2" s="1"/>
  <c r="O7" i="2"/>
  <c r="P7" i="2" s="1"/>
  <c r="P11" i="2" s="1"/>
  <c r="P12" i="2" s="1"/>
  <c r="L10" i="2"/>
  <c r="M10" i="2" s="1"/>
  <c r="L9" i="2"/>
  <c r="M9" i="2" s="1"/>
  <c r="L8" i="2"/>
  <c r="M8" i="2" s="1"/>
  <c r="L25" i="2"/>
  <c r="M25" i="2" s="1"/>
  <c r="L24" i="2"/>
  <c r="M24" i="2" s="1"/>
  <c r="L23" i="2"/>
  <c r="M23" i="2" s="1"/>
  <c r="L22" i="2"/>
  <c r="M22" i="2" s="1"/>
  <c r="L21" i="2"/>
  <c r="M21" i="2" s="1"/>
  <c r="L20" i="2"/>
  <c r="M20" i="2" s="1"/>
  <c r="L19" i="2"/>
  <c r="M19" i="2" s="1"/>
  <c r="L18" i="2"/>
  <c r="M18" i="2" s="1"/>
  <c r="L17" i="2"/>
  <c r="M17" i="2" s="1"/>
  <c r="L16" i="2"/>
  <c r="M16" i="2" s="1"/>
  <c r="L15" i="2"/>
  <c r="M15" i="2" s="1"/>
  <c r="L14" i="2"/>
  <c r="M14" i="2" s="1"/>
  <c r="L13" i="2"/>
  <c r="M13" i="2" s="1"/>
  <c r="M26" i="2" s="1"/>
  <c r="K27" i="2" s="1"/>
  <c r="L7" i="2"/>
  <c r="M7" i="2" s="1"/>
  <c r="M11" i="2" s="1"/>
  <c r="M12" i="2" s="1"/>
  <c r="I9" i="2"/>
  <c r="J9" i="2" s="1"/>
  <c r="I8" i="2"/>
  <c r="J8" i="2" s="1"/>
  <c r="I25" i="2"/>
  <c r="J25" i="2" s="1"/>
  <c r="I24" i="2"/>
  <c r="J24" i="2" s="1"/>
  <c r="I23" i="2"/>
  <c r="J23" i="2" s="1"/>
  <c r="I22" i="2"/>
  <c r="J22" i="2" s="1"/>
  <c r="I21" i="2"/>
  <c r="J21" i="2" s="1"/>
  <c r="I20" i="2"/>
  <c r="J20" i="2" s="1"/>
  <c r="I19" i="2"/>
  <c r="J19" i="2" s="1"/>
  <c r="I18" i="2"/>
  <c r="J18" i="2" s="1"/>
  <c r="I17" i="2"/>
  <c r="J17" i="2" s="1"/>
  <c r="I16" i="2"/>
  <c r="J16" i="2" s="1"/>
  <c r="I15" i="2"/>
  <c r="J15" i="2" s="1"/>
  <c r="I14" i="2"/>
  <c r="J14" i="2" s="1"/>
  <c r="I13" i="2"/>
  <c r="J13" i="2" s="1"/>
  <c r="J26" i="2" s="1"/>
  <c r="H27" i="2" s="1"/>
  <c r="I7" i="2"/>
  <c r="J7" i="2" s="1"/>
  <c r="J11" i="2" s="1"/>
  <c r="J12" i="2" s="1"/>
  <c r="G13" i="2"/>
  <c r="G14" i="2"/>
  <c r="G15" i="2"/>
  <c r="G16" i="2"/>
  <c r="F17" i="2"/>
  <c r="G17" i="2" s="1"/>
  <c r="F18" i="2"/>
  <c r="G18" i="2" s="1"/>
  <c r="F19" i="2"/>
  <c r="G19" i="2" s="1"/>
  <c r="F20" i="2"/>
  <c r="G20" i="2" s="1"/>
  <c r="F21" i="2"/>
  <c r="G21" i="2" s="1"/>
  <c r="F22" i="2"/>
  <c r="G22" i="2" s="1"/>
  <c r="F23" i="2"/>
  <c r="G23" i="2" s="1"/>
  <c r="F24" i="2"/>
  <c r="G24" i="2" s="1"/>
  <c r="F25" i="2"/>
  <c r="G25" i="2" s="1"/>
  <c r="G26" i="2" s="1"/>
  <c r="E27" i="2" s="1"/>
  <c r="F8" i="2"/>
  <c r="G8" i="2" s="1"/>
  <c r="G9" i="2"/>
  <c r="G11" i="2" l="1"/>
  <c r="G12" i="2" s="1"/>
</calcChain>
</file>

<file path=xl/sharedStrings.xml><?xml version="1.0" encoding="utf-8"?>
<sst xmlns="http://schemas.openxmlformats.org/spreadsheetml/2006/main" count="254" uniqueCount="150">
  <si>
    <t>Mapping of key partners and sectors in the land/sea scape</t>
  </si>
  <si>
    <r>
      <rPr>
        <b/>
        <sz val="11"/>
        <color rgb="FF000000"/>
        <rFont val="Calibri"/>
        <scheme val="minor"/>
      </rPr>
      <t xml:space="preserve">Sector                                                                                      </t>
    </r>
    <r>
      <rPr>
        <i/>
        <sz val="11"/>
        <color rgb="FF000000"/>
        <rFont val="Calibri"/>
        <scheme val="minor"/>
      </rPr>
      <t>(insert a new row if a sector identified has not been listed below)</t>
    </r>
  </si>
  <si>
    <t>Name of the organisation/institution/company</t>
  </si>
  <si>
    <r>
      <rPr>
        <b/>
        <sz val="11"/>
        <color rgb="FF000000"/>
        <rFont val="Calibri"/>
        <scheme val="minor"/>
      </rPr>
      <t xml:space="preserve">Common linkages </t>
    </r>
    <r>
      <rPr>
        <sz val="11"/>
        <color rgb="FF000000"/>
        <rFont val="Calibri"/>
        <scheme val="minor"/>
      </rPr>
      <t>e.g. How would a partnership align with each partners’ objectives and interests? Where do you have geographic or thematic overlaps?</t>
    </r>
  </si>
  <si>
    <r>
      <rPr>
        <b/>
        <sz val="11"/>
        <color rgb="FF000000"/>
        <rFont val="Calibri"/>
        <scheme val="minor"/>
      </rPr>
      <t xml:space="preserve">Opportunities for collaboration </t>
    </r>
    <r>
      <rPr>
        <sz val="11"/>
        <color rgb="FF000000"/>
        <rFont val="Calibri"/>
        <scheme val="minor"/>
      </rPr>
      <t xml:space="preserve">e.g. What could you do together? </t>
    </r>
  </si>
  <si>
    <r>
      <rPr>
        <b/>
        <sz val="11"/>
        <color rgb="FF000000"/>
        <rFont val="Calibri"/>
        <scheme val="minor"/>
      </rPr>
      <t xml:space="preserve">Challenges for collaboration </t>
    </r>
    <r>
      <rPr>
        <sz val="11"/>
        <color rgb="FF000000"/>
        <rFont val="Calibri"/>
        <scheme val="minor"/>
      </rPr>
      <t xml:space="preserve">e.g. What are the potential risks, costs or issues associated with working with this partner? </t>
    </r>
  </si>
  <si>
    <r>
      <rPr>
        <b/>
        <sz val="11"/>
        <color rgb="FF000000"/>
        <rFont val="Calibri"/>
        <scheme val="minor"/>
      </rPr>
      <t xml:space="preserve">Partnership: Yes, Maybe, No based on the opportunities and risks identified in previous columns </t>
    </r>
    <r>
      <rPr>
        <i/>
        <sz val="11"/>
        <color rgb="FF000000"/>
        <rFont val="Calibri"/>
        <scheme val="minor"/>
      </rPr>
      <t>(Fill in with Green for Yes, Orange for Maybe and Red for No)</t>
    </r>
  </si>
  <si>
    <t xml:space="preserve">Comments </t>
  </si>
  <si>
    <t>Agricultural</t>
  </si>
  <si>
    <t>Timber products</t>
  </si>
  <si>
    <t>Non-timber products</t>
  </si>
  <si>
    <t xml:space="preserve">Animal husbandry </t>
  </si>
  <si>
    <t>Dairy</t>
  </si>
  <si>
    <t>Aquaculture</t>
  </si>
  <si>
    <t>Beekeeping</t>
  </si>
  <si>
    <t>Nursery</t>
  </si>
  <si>
    <t>Organic farming</t>
  </si>
  <si>
    <t>Tourism</t>
  </si>
  <si>
    <t>Hotels</t>
  </si>
  <si>
    <t>Agrotourism</t>
  </si>
  <si>
    <t>Ecotourism</t>
  </si>
  <si>
    <t>Tour operators</t>
  </si>
  <si>
    <t>Travel agencies</t>
  </si>
  <si>
    <t xml:space="preserve">Birdwatching </t>
  </si>
  <si>
    <t>Local commerce</t>
  </si>
  <si>
    <t>Restaurants</t>
  </si>
  <si>
    <t>Food shops</t>
  </si>
  <si>
    <t>Souvenir shops</t>
  </si>
  <si>
    <t>Government</t>
  </si>
  <si>
    <t>Local council</t>
  </si>
  <si>
    <t>Tourism promotion agency</t>
  </si>
  <si>
    <t>Agriculture promotion agency</t>
  </si>
  <si>
    <t>Innovation or start-up agency</t>
  </si>
  <si>
    <t>Chamber of commerce</t>
  </si>
  <si>
    <t>Finance</t>
  </si>
  <si>
    <t>Banks</t>
  </si>
  <si>
    <t xml:space="preserve">Microfinance institutions </t>
  </si>
  <si>
    <t xml:space="preserve">Philantropic donors </t>
  </si>
  <si>
    <t>Impact Investors</t>
  </si>
  <si>
    <t>Support functions</t>
  </si>
  <si>
    <t>Transportation/ Logistics company</t>
  </si>
  <si>
    <t>Distribution/ Warehousing company</t>
  </si>
  <si>
    <t>Market creators or investment facilitators</t>
  </si>
  <si>
    <t>Certifications - Rainforest Alliance, B Corps, FairTrade, Global Sustainable Tourism Council</t>
  </si>
  <si>
    <t>Sustainability incubator</t>
  </si>
  <si>
    <t>Other</t>
  </si>
  <si>
    <t>Natural Park</t>
  </si>
  <si>
    <t>Private nature reserve</t>
  </si>
  <si>
    <t>Other NGOs promoting businesses</t>
  </si>
  <si>
    <t>Universities / Business Schools</t>
  </si>
  <si>
    <t xml:space="preserve">Answer each question with Yes (2 points), Partly (1 point), or No (0 points). Each question has a weight based on its importance: all Impact &amp; Objectives questions are weighted 3, while Finance, Operations, Customer &amp; Market Benefits, and Governance questions are weighted 1 or 2. The weighted scores are summed and converted into percentages for Impact (X-axis) and Business Performance (Y-axis). These percentages place the partnership into one of four quadrants, providing guidance on its strategic fit and next steps for development. Please refer to the Partnership Balance Matrix next to position the accumulated scores </t>
  </si>
  <si>
    <r>
      <rPr>
        <b/>
        <sz val="11"/>
        <color rgb="FF000000"/>
        <rFont val="Calibri"/>
        <scheme val="minor"/>
      </rPr>
      <t xml:space="preserve">(Fill in with Partner's name) </t>
    </r>
    <r>
      <rPr>
        <sz val="11"/>
        <color rgb="FF000000"/>
        <rFont val="Calibri"/>
        <scheme val="minor"/>
      </rPr>
      <t>copy and paste columns for additional partners as needed</t>
    </r>
  </si>
  <si>
    <r>
      <rPr>
        <b/>
        <sz val="11"/>
        <color rgb="FF000000"/>
        <rFont val="Calibri"/>
      </rPr>
      <t xml:space="preserve">(Fill in with Partner's name) </t>
    </r>
    <r>
      <rPr>
        <sz val="11"/>
        <color rgb="FF000000"/>
        <rFont val="Calibri"/>
      </rPr>
      <t>copy and paste columns for additional partners as needed</t>
    </r>
  </si>
  <si>
    <r>
      <rPr>
        <b/>
        <sz val="11"/>
        <color rgb="FF000000"/>
        <rFont val="Calibri"/>
      </rPr>
      <t>(Fill in with Partner's name)</t>
    </r>
    <r>
      <rPr>
        <sz val="11"/>
        <color rgb="FF000000"/>
        <rFont val="Calibri"/>
      </rPr>
      <t xml:space="preserve"> copy and paste columns for additional partners as needed</t>
    </r>
  </si>
  <si>
    <t>Category</t>
  </si>
  <si>
    <t>Assessment Question</t>
  </si>
  <si>
    <t>Guidance Notes</t>
  </si>
  <si>
    <t>Weightage</t>
  </si>
  <si>
    <r>
      <t>Answer</t>
    </r>
    <r>
      <rPr>
        <i/>
        <sz val="11"/>
        <color rgb="FF000000"/>
        <rFont val="Calibri"/>
        <scheme val="minor"/>
      </rPr>
      <t xml:space="preserve">                                               fill in your answer with a Yes, Partly, or No </t>
    </r>
  </si>
  <si>
    <r>
      <t>Score</t>
    </r>
    <r>
      <rPr>
        <i/>
        <sz val="11"/>
        <color theme="1"/>
        <rFont val="Calibri"/>
        <family val="2"/>
        <scheme val="minor"/>
      </rPr>
      <t xml:space="preserve">                            this will be calculated automatically, do not fill</t>
    </r>
  </si>
  <si>
    <t>Weighted score</t>
  </si>
  <si>
    <t xml:space="preserve">Weighted score </t>
  </si>
  <si>
    <t xml:space="preserve">Wighted score </t>
  </si>
  <si>
    <t>Legend: Do NOT Delete</t>
  </si>
  <si>
    <t>Objectives</t>
  </si>
  <si>
    <t>Does the vision, mission, and values align?</t>
  </si>
  <si>
    <t>When assessing a potential partner, consider whether their overall purpose, way of working, and long-term goals support or conflict with those of your Nature-Positive Enterprise (NPE). Good alignment means that working together will strengthen your ability to achieve both conservation and livelihood outcomes.</t>
  </si>
  <si>
    <t>Yes</t>
  </si>
  <si>
    <t>Partly</t>
  </si>
  <si>
    <t>Answer</t>
  </si>
  <si>
    <t>Score</t>
  </si>
  <si>
    <t>Impact (People &amp; Planet)</t>
  </si>
  <si>
    <t>Will this partnership make a direct and measurable positive impact towards nature restoration?</t>
  </si>
  <si>
    <r>
      <rPr>
        <b/>
        <sz val="11"/>
        <color rgb="FF000000"/>
        <rFont val="Calibri"/>
        <scheme val="minor"/>
      </rPr>
      <t>Example</t>
    </r>
    <r>
      <rPr>
        <sz val="11"/>
        <color rgb="FF000000"/>
        <rFont val="Calibri"/>
        <scheme val="minor"/>
      </rPr>
      <t>: A nature-positive reforestation enterprise partners with a local conservation NGO. Together, they expand tree planting efforts, protect wildlife habitats, and improve ecosystem services in the landscape.</t>
    </r>
  </si>
  <si>
    <t>No</t>
  </si>
  <si>
    <t>Will this partnership make a direct and measurable positive impact for the local communities?</t>
  </si>
  <si>
    <t>Whether the partnership  improves the well-being of local people—through income generation, capacity building, access to services, or cultural preservation. The impact should be tangible and trackable.
Example: An NPE producing herbal teas partners with a women’s cooperative to source ingredients. The partnership creates 15 new jobs, increases household income by 30%, and provides training in sustainable harvesting techniques.</t>
  </si>
  <si>
    <t>Will this partnership make a direct and measurable positive impact for the economy of the landscape?</t>
  </si>
  <si>
    <r>
      <rPr>
        <sz val="11"/>
        <color rgb="FF000000"/>
        <rFont val="Calibri"/>
        <scheme val="minor"/>
      </rPr>
      <t xml:space="preserve">Whether the partnership contributes to broader economic development across the entire landscape — not just one community or business. It considers impacts across sectors (e.g., agriculture, tourism, conservation), regions, and stakeholder groups, aiming for systemic and sustainable economic benefits.
</t>
    </r>
    <r>
      <rPr>
        <b/>
        <sz val="11"/>
        <color rgb="FF000000"/>
        <rFont val="Calibri"/>
        <scheme val="minor"/>
      </rPr>
      <t>Example:</t>
    </r>
    <r>
      <rPr>
        <sz val="11"/>
        <color rgb="FF000000"/>
        <rFont val="Calibri"/>
        <scheme val="minor"/>
      </rPr>
      <t xml:space="preserve"> A nature-positive enterprise partners with a regional tourism board and local producers to create a branded ecotourism route. This initiative boosts visitor numbers, increases sales of local products across multiple villages, and encourages investment in infrastructure — strengthening the overall economy of the landscape.</t>
    </r>
  </si>
  <si>
    <t>Total wieghted score</t>
  </si>
  <si>
    <t>Impact %</t>
  </si>
  <si>
    <t>Customer &amp; Market Benefits</t>
  </si>
  <si>
    <t>Will there be an additional customer segment accessed through the partnership?</t>
  </si>
  <si>
    <r>
      <rPr>
        <b/>
        <sz val="11"/>
        <color rgb="FF000000"/>
        <rFont val="Calibri"/>
        <scheme val="minor"/>
      </rPr>
      <t>Focus</t>
    </r>
    <r>
      <rPr>
        <sz val="11"/>
        <color rgb="FF000000"/>
        <rFont val="Calibri"/>
        <scheme val="minor"/>
      </rPr>
      <t xml:space="preserve">: Who you are reaching.
It’s about whether the partnership allows access to a new group of customers (e.g., young professionals, rural communities, eco-conscious tourists).
</t>
    </r>
    <r>
      <rPr>
        <b/>
        <sz val="11"/>
        <color rgb="FF000000"/>
        <rFont val="Calibri"/>
        <scheme val="minor"/>
      </rPr>
      <t>Example:</t>
    </r>
    <r>
      <rPr>
        <sz val="11"/>
        <color rgb="FF000000"/>
        <rFont val="Calibri"/>
        <scheme val="minor"/>
      </rPr>
      <t xml:space="preserve"> A community-based eco-tourism company partners with local artisans → tourists can purchase handmade, sustainably sourced crafts, creating additional income streams and supporting traditional practices that protect landscapes.</t>
    </r>
  </si>
  <si>
    <t>Will this partnership allow the enterprise to gain additional market insight?</t>
  </si>
  <si>
    <r>
      <rPr>
        <b/>
        <sz val="11"/>
        <color rgb="FF000000"/>
        <rFont val="Calibri"/>
        <scheme val="minor"/>
      </rPr>
      <t>Focus:</t>
    </r>
    <r>
      <rPr>
        <sz val="11"/>
        <color rgb="FF000000"/>
        <rFont val="Calibri"/>
        <scheme val="minor"/>
      </rPr>
      <t xml:space="preserve"> What you can learn to improve decisions (market insights) such as customer needs, preferences, pricing dynamics, competitor activity, or emerging trends—that you might not be able to access on your own.
</t>
    </r>
    <r>
      <rPr>
        <b/>
        <sz val="11"/>
        <color rgb="FF000000"/>
        <rFont val="Calibri"/>
        <scheme val="minor"/>
      </rPr>
      <t>Example</t>
    </r>
    <r>
      <rPr>
        <sz val="11"/>
        <color rgb="FF000000"/>
        <rFont val="Calibri"/>
        <scheme val="minor"/>
      </rPr>
      <t>: A small organic farmer partners with a supermarket → they gain insight into consumer demand, seasonal buying patterns, and preferred packaging, which they couldn’t easily access before.</t>
    </r>
  </si>
  <si>
    <t>Will it be beneficial for customer relationships?</t>
  </si>
  <si>
    <r>
      <rPr>
        <sz val="11"/>
        <color rgb="FF000000"/>
        <rFont val="Calibri"/>
        <scheme val="minor"/>
      </rPr>
      <t xml:space="preserve">Meaning if the partnership will strengthen trust, loyalty, and engagement with existing customers.
</t>
    </r>
    <r>
      <rPr>
        <b/>
        <sz val="11"/>
        <color rgb="FF000000"/>
        <rFont val="Calibri"/>
        <scheme val="minor"/>
      </rPr>
      <t>Example</t>
    </r>
    <r>
      <rPr>
        <sz val="11"/>
        <color rgb="FF000000"/>
        <rFont val="Calibri"/>
        <scheme val="minor"/>
      </rPr>
      <t>: A farmer cooperative partners with a conservation NGO → joint storytelling about positive landscape impacts boosts consumer engagement and brand loyalty.</t>
    </r>
  </si>
  <si>
    <t>Will there be an opportunity to tap into a new channel to market?</t>
  </si>
  <si>
    <r>
      <rPr>
        <sz val="11"/>
        <color rgb="FF000000"/>
        <rFont val="Calibri"/>
        <scheme val="minor"/>
      </rPr>
      <t xml:space="preserve">This question looks at whether the partnership provides a new way to sell or distribute products/services, beyond existing channels.
</t>
    </r>
    <r>
      <rPr>
        <b/>
        <sz val="11"/>
        <color rgb="FF000000"/>
        <rFont val="Calibri"/>
        <scheme val="minor"/>
      </rPr>
      <t>Example:</t>
    </r>
    <r>
      <rPr>
        <sz val="11"/>
        <color rgb="FF000000"/>
        <rFont val="Calibri"/>
        <scheme val="minor"/>
      </rPr>
      <t xml:space="preserve"> A nature-positive handicraft producer partners with an online marketplace, giving them access to e-commerce customers in addition to their local shop sales.</t>
    </r>
  </si>
  <si>
    <t>Will the value proposition be strengthened?</t>
  </si>
  <si>
    <r>
      <rPr>
        <sz val="11"/>
        <color rgb="FF000000"/>
        <rFont val="Calibri"/>
        <scheme val="minor"/>
      </rPr>
      <t xml:space="preserve">With upselling both products/services, the partnership can create a new experience for customers.
</t>
    </r>
    <r>
      <rPr>
        <b/>
        <sz val="11"/>
        <color rgb="FF000000"/>
        <rFont val="Calibri"/>
        <scheme val="minor"/>
      </rPr>
      <t>Example:</t>
    </r>
    <r>
      <rPr>
        <sz val="11"/>
        <color rgb="FF000000"/>
        <rFont val="Calibri"/>
        <scheme val="minor"/>
      </rPr>
      <t xml:space="preserve"> An eco-tourism kayak company partners with a local wildlife photographer, offering customers the option to purchase professional photos from their tour as a package, creating a unique and memorable nature-based experience.</t>
    </r>
  </si>
  <si>
    <t>Operations</t>
  </si>
  <si>
    <t>Can some of the key resources be shared?</t>
  </si>
  <si>
    <r>
      <rPr>
        <sz val="11"/>
        <color rgb="FF000000"/>
        <rFont val="Calibri"/>
        <scheme val="minor"/>
      </rPr>
      <t xml:space="preserve">This question looks at whether the partnership allows the enterprise to share or access key resources—such as equipment, knowledge, networks, or facilities—that reduce costs or improve efficiency.
</t>
    </r>
    <r>
      <rPr>
        <b/>
        <sz val="11"/>
        <color rgb="FF000000"/>
        <rFont val="Calibri"/>
        <scheme val="minor"/>
      </rPr>
      <t>Example:</t>
    </r>
    <r>
      <rPr>
        <sz val="11"/>
        <color rgb="FF000000"/>
        <rFont val="Calibri"/>
        <scheme val="minor"/>
      </rPr>
      <t xml:space="preserve"> A nature-positive eco-lodge partners with a local tour operator, sharing transport vehicles and guides, which reduces operational costs and improves service quality.</t>
    </r>
  </si>
  <si>
    <t>Can some of the key activities be delivered jointly?</t>
  </si>
  <si>
    <r>
      <rPr>
        <sz val="11"/>
        <color rgb="FF000000"/>
        <rFont val="Calibri"/>
        <scheme val="minor"/>
      </rPr>
      <t xml:space="preserve">This question explores whether the partnership enables the enterprise to carry out certain activities together with the partner, improving efficiency, reach, or impact.
</t>
    </r>
    <r>
      <rPr>
        <b/>
        <sz val="11"/>
        <color rgb="FF000000"/>
        <rFont val="Calibri"/>
        <scheme val="minor"/>
      </rPr>
      <t>Example:</t>
    </r>
    <r>
      <rPr>
        <sz val="11"/>
        <color rgb="FF000000"/>
        <rFont val="Calibri"/>
        <scheme val="minor"/>
      </rPr>
      <t xml:space="preserve"> A nature-positive coffee cooperative partners with a local training organization to jointly deliver farmer capacity-building workshops, sharing expertise and resources while reaching more participants.</t>
    </r>
  </si>
  <si>
    <t>Will the partnership help reduce costs or expenditure for the enterprise?</t>
  </si>
  <si>
    <r>
      <rPr>
        <sz val="11"/>
        <color rgb="FF000000"/>
        <rFont val="Calibri"/>
        <scheme val="minor"/>
      </rPr>
      <t xml:space="preserve">Assesses whether the partnership lowers overall costs, operational expenses, or cash outflows, through shared resources, joint activities, or efficiencies.
</t>
    </r>
    <r>
      <rPr>
        <b/>
        <sz val="11"/>
        <color rgb="FF000000"/>
        <rFont val="Calibri"/>
        <scheme val="minor"/>
      </rPr>
      <t>Example</t>
    </r>
    <r>
      <rPr>
        <sz val="11"/>
        <color rgb="FF000000"/>
        <rFont val="Calibri"/>
        <scheme val="minor"/>
      </rPr>
      <t>: A honey producer partners with a local packaging company to bulk-purchase materials, reducing both production costs and actual spending.</t>
    </r>
  </si>
  <si>
    <t>Will the revenue increase with partnership?</t>
  </si>
  <si>
    <r>
      <rPr>
        <b/>
        <sz val="11"/>
        <color rgb="FF000000"/>
        <rFont val="Calibri"/>
        <scheme val="minor"/>
      </rPr>
      <t xml:space="preserve">Example: </t>
    </r>
    <r>
      <rPr>
        <sz val="11"/>
        <color rgb="FF000000"/>
        <rFont val="Calibri"/>
        <scheme val="minor"/>
      </rPr>
      <t>A nature-positive coffee cooperative partners with a specialty retailer, allowing them to sell to a new premium customer segment and increase overall revenue.</t>
    </r>
  </si>
  <si>
    <t>Will the return on investment (if applicable) be achieved quicker with the partnership?</t>
  </si>
  <si>
    <t>For example: A partnership may enable you to generate a larger revenue than initially projected. Under these circumstances, the NPE could potentially re-pay whoever invested in the NPE quicker than what was initially expected.</t>
  </si>
  <si>
    <t xml:space="preserve">Governance &amp; Management </t>
  </si>
  <si>
    <t>Will there be clear rules in how the partnership is managed?</t>
  </si>
  <si>
    <r>
      <rPr>
        <sz val="11"/>
        <color rgb="FF000000"/>
        <rFont val="Calibri"/>
        <scheme val="minor"/>
      </rPr>
      <t xml:space="preserve">If the partnership will have clearly defined roles, responsibilities, and governance, helping to avoid misunderstandings and ensure smooth collaboration.
</t>
    </r>
    <r>
      <rPr>
        <b/>
        <sz val="11"/>
        <color rgb="FF000000"/>
        <rFont val="Calibri"/>
        <scheme val="minor"/>
      </rPr>
      <t>Example</t>
    </r>
    <r>
      <rPr>
        <sz val="11"/>
        <color rgb="FF000000"/>
        <rFont val="Calibri"/>
        <scheme val="minor"/>
      </rPr>
      <t>: A nature-positive forest restoration enterprise partners with a local nursery. They agree on a written partnership agreement detailing who supplies seedlings, who manages planting, and how costs and revenues are shared, ensuring smooth operations.</t>
    </r>
  </si>
  <si>
    <t>Will there be a person designated to manage the partnership?</t>
  </si>
  <si>
    <t>For example: Will there be one person accountable for the partnership? Will this person be hired for this specific role?</t>
  </si>
  <si>
    <t>Will there be a defined process for raising concerns and resolving conflicts?</t>
  </si>
  <si>
    <t>For example: Two small businesses agree that any disputes over revenue sharing are first discussed in a structured call and, if unresolved, escalated to a neutral third-party advisor.</t>
  </si>
  <si>
    <t>Total weighted score</t>
  </si>
  <si>
    <t>Business Performance %</t>
  </si>
  <si>
    <t>Impact&amp; Objective</t>
  </si>
  <si>
    <t xml:space="preserve">Max score </t>
  </si>
  <si>
    <t>4 questions*3 (weightage)*2(max score)</t>
  </si>
  <si>
    <t>Business Performance</t>
  </si>
  <si>
    <t>(Fin, Opr, Gov &amp;Market)</t>
  </si>
  <si>
    <t>5 questions*2 (weightage)*2(max score)+8 questions*1(weightage)*2(max score)</t>
  </si>
  <si>
    <r>
      <rPr>
        <b/>
        <sz val="12"/>
        <color rgb="FF000000"/>
        <rFont val="Calibri"/>
        <scheme val="minor"/>
      </rPr>
      <t xml:space="preserve">Partnership Potential Analysis Instructions:
</t>
    </r>
    <r>
      <rPr>
        <sz val="12"/>
        <color rgb="FF000000"/>
        <rFont val="Calibri"/>
        <scheme val="minor"/>
      </rPr>
      <t xml:space="preserve">
</t>
    </r>
    <r>
      <rPr>
        <b/>
        <sz val="12"/>
        <color rgb="FF000000"/>
        <rFont val="Calibri"/>
        <scheme val="minor"/>
      </rPr>
      <t xml:space="preserve">Answering Questions: </t>
    </r>
    <r>
      <rPr>
        <sz val="12"/>
        <color rgb="FF000000"/>
        <rFont val="Calibri"/>
        <scheme val="minor"/>
      </rPr>
      <t xml:space="preserve">For each question, select one of the following options:
Yes → 2 points
Partly → 1 point
No → 0 points
</t>
    </r>
    <r>
      <rPr>
        <b/>
        <sz val="12"/>
        <color rgb="FF000000"/>
        <rFont val="Calibri"/>
        <scheme val="minor"/>
      </rPr>
      <t xml:space="preserve">Calculating Scores: </t>
    </r>
    <r>
      <rPr>
        <sz val="12"/>
        <color rgb="FF000000"/>
        <rFont val="Calibri"/>
        <scheme val="minor"/>
      </rPr>
      <t xml:space="preserve">Each answer generates a raw score, which is then multiplied by the weight assigned to that question.
Impact &amp; Objectives questions: All weighted 3 (highest importance)
Finance, Operations, Customer &amp; Market Benefits, and Governance: Weighted 2 or 1 depending on strategic importance
</t>
    </r>
    <r>
      <rPr>
        <b/>
        <sz val="12"/>
        <color rgb="FF000000"/>
        <rFont val="Calibri"/>
        <scheme val="minor"/>
      </rPr>
      <t xml:space="preserve">Overall Partnership Analysis
</t>
    </r>
    <r>
      <rPr>
        <sz val="12"/>
        <color rgb="FF000000"/>
        <rFont val="Calibri"/>
        <scheme val="minor"/>
      </rPr>
      <t xml:space="preserve">
The weighted scores are summed for all questions.
Scores are then normalized to a 0–100% scale for each axis:
</t>
    </r>
    <r>
      <rPr>
        <b/>
        <sz val="12"/>
        <color rgb="FF000000"/>
        <rFont val="Calibri"/>
        <scheme val="minor"/>
      </rPr>
      <t>Impact %</t>
    </r>
    <r>
      <rPr>
        <sz val="12"/>
        <color rgb="FF000000"/>
        <rFont val="Calibri"/>
        <scheme val="minor"/>
      </rPr>
      <t xml:space="preserve"> = (Impact &amp; Objectives weighted score ÷ max possible Impact score) × 100
</t>
    </r>
    <r>
      <rPr>
        <b/>
        <sz val="12"/>
        <color rgb="FF000000"/>
        <rFont val="Calibri"/>
        <scheme val="minor"/>
      </rPr>
      <t>Business Performance %</t>
    </r>
    <r>
      <rPr>
        <sz val="12"/>
        <color rgb="FF000000"/>
        <rFont val="Calibri"/>
        <scheme val="minor"/>
      </rPr>
      <t xml:space="preserve"> = (Finance + Operations + Customer + Governance weighted score ÷ max possible Financial score) × 100
This generates a partnership fitness percentage, allowing comparison across potential partners.
</t>
    </r>
    <r>
      <rPr>
        <b/>
        <sz val="12"/>
        <color rgb="FF000000"/>
        <rFont val="Calibri"/>
        <scheme val="minor"/>
      </rPr>
      <t xml:space="preserve">Placing Partnerships in the Matrix
</t>
    </r>
    <r>
      <rPr>
        <sz val="12"/>
        <color rgb="FF000000"/>
        <rFont val="Calibri"/>
        <scheme val="minor"/>
      </rPr>
      <t xml:space="preserve">
The percentages for Impact (X-axis) and Business Performance (Y-axis) determine the quadrant in the 2×2 matrix:
Top-right (High Impact - High Business Performance) → Strong strategic fit, high alignment, financially viable
Top-left (Low Impact - High Business Performance) → Financially strong but limited mission alignment
Bottom-right (High Impact - Low Business Performance) → Mission-driven but financially weak; may need support
Bottom-left (Low Impact - Low Business Performance) → Weak candidate; low priority
</t>
    </r>
    <r>
      <rPr>
        <b/>
        <sz val="12"/>
        <color rgb="FF000000"/>
        <rFont val="Calibri"/>
        <scheme val="minor"/>
      </rPr>
      <t xml:space="preserve">Next Steps &amp; Recommendations:
</t>
    </r>
    <r>
      <rPr>
        <sz val="12"/>
        <color rgb="FF000000"/>
        <rFont val="Calibri"/>
        <scheme val="minor"/>
      </rPr>
      <t xml:space="preserve">
Once placed in the matrix, specific guidance will be provided for how to develop or improve the partnership based on its quadrant.</t>
    </r>
  </si>
  <si>
    <t xml:space="preserve">Partnership Balance Matrix </t>
  </si>
  <si>
    <t>List of potential partners: (Identified in previous tab 1)</t>
  </si>
  <si>
    <t xml:space="preserve">High </t>
  </si>
  <si>
    <t>Commercial Partners</t>
  </si>
  <si>
    <t>Strategic Partners</t>
  </si>
  <si>
    <t>Low strategic alignment &amp; Impact; High operational &amp; Financial viability</t>
  </si>
  <si>
    <t>High strategic alignment &amp; Impact; High operational &amp; Financial viability</t>
  </si>
  <si>
    <t xml:space="preserve">Low </t>
  </si>
  <si>
    <t>Emerging Partners</t>
  </si>
  <si>
    <t>Mission-Driven Partners</t>
  </si>
  <si>
    <t>Low strategic alignment &amp; Impact; Low operational &amp; Financial viability</t>
  </si>
  <si>
    <t>High strategic alignment &amp; Impact; Low operational &amp; Financial viability</t>
  </si>
  <si>
    <t>High</t>
  </si>
  <si>
    <r>
      <rPr>
        <b/>
        <sz val="12"/>
        <color rgb="FF000000"/>
        <rFont val="Calibri"/>
        <scheme val="minor"/>
      </rPr>
      <t xml:space="preserve">Quadrant Interpretation Guide
</t>
    </r>
    <r>
      <rPr>
        <sz val="12"/>
        <color rgb="FF000000"/>
        <rFont val="Calibri"/>
        <scheme val="minor"/>
      </rPr>
      <t xml:space="preserve">1. </t>
    </r>
    <r>
      <rPr>
        <b/>
        <sz val="12"/>
        <color rgb="FF000000"/>
        <rFont val="Calibri"/>
        <scheme val="minor"/>
      </rPr>
      <t xml:space="preserve">Strategic Partners </t>
    </r>
    <r>
      <rPr>
        <sz val="12"/>
        <color rgb="FF000000"/>
        <rFont val="Calibri"/>
        <scheme val="minor"/>
      </rPr>
      <t xml:space="preserve">(Top Right Quadrant)
High Impact – High Business Performance
</t>
    </r>
    <r>
      <rPr>
        <b/>
        <sz val="12"/>
        <color rgb="FF000000"/>
        <rFont val="Calibri"/>
        <scheme val="minor"/>
      </rPr>
      <t>Description</t>
    </r>
    <r>
      <rPr>
        <sz val="12"/>
        <color rgb="FF000000"/>
        <rFont val="Calibri"/>
        <scheme val="minor"/>
      </rPr>
      <t xml:space="preserve">: These are ideal partnerships with strong mission alignment and financial viability. Prioritise for collaboration and scaling. 
</t>
    </r>
    <r>
      <rPr>
        <b/>
        <sz val="12"/>
        <color rgb="FF000000"/>
        <rFont val="Calibri"/>
        <scheme val="minor"/>
      </rPr>
      <t>Score Range</t>
    </r>
    <r>
      <rPr>
        <sz val="12"/>
        <color rgb="FF000000"/>
        <rFont val="Calibri"/>
        <scheme val="minor"/>
      </rPr>
      <t xml:space="preserve">: Impact ≥50%, Business Performance ≥50%
2. </t>
    </r>
    <r>
      <rPr>
        <b/>
        <sz val="12"/>
        <color rgb="FF000000"/>
        <rFont val="Calibri"/>
        <scheme val="minor"/>
      </rPr>
      <t>Mission-Driven Partners</t>
    </r>
    <r>
      <rPr>
        <sz val="12"/>
        <color rgb="FF000000"/>
        <rFont val="Calibri"/>
        <scheme val="minor"/>
      </rPr>
      <t xml:space="preserve"> (Bottom Right Quadrant)
High Impact – Low Business Performance 
</t>
    </r>
    <r>
      <rPr>
        <b/>
        <sz val="12"/>
        <color rgb="FF000000"/>
        <rFont val="Calibri"/>
        <scheme val="minor"/>
      </rPr>
      <t>Description</t>
    </r>
    <r>
      <rPr>
        <sz val="12"/>
        <color rgb="FF000000"/>
        <rFont val="Calibri"/>
        <scheme val="minor"/>
      </rPr>
      <t xml:space="preserve">: Strong alignment with impact goals but weaker business performance. Valuable for reputation and long-term impact; may need support or external funding.
</t>
    </r>
    <r>
      <rPr>
        <b/>
        <sz val="12"/>
        <color rgb="FF000000"/>
        <rFont val="Calibri"/>
        <scheme val="minor"/>
      </rPr>
      <t>Score Range</t>
    </r>
    <r>
      <rPr>
        <sz val="12"/>
        <color rgb="FF000000"/>
        <rFont val="Calibri"/>
        <scheme val="minor"/>
      </rPr>
      <t xml:space="preserve">: Impact ≥50%, Business Performance &lt;50%
</t>
    </r>
    <r>
      <rPr>
        <b/>
        <sz val="12"/>
        <color rgb="FF000000"/>
        <rFont val="Calibri"/>
        <scheme val="minor"/>
      </rPr>
      <t xml:space="preserve">
</t>
    </r>
    <r>
      <rPr>
        <sz val="12"/>
        <color rgb="FF000000"/>
        <rFont val="Calibri"/>
        <scheme val="minor"/>
      </rPr>
      <t xml:space="preserve">
3. </t>
    </r>
    <r>
      <rPr>
        <b/>
        <sz val="12"/>
        <color rgb="FF000000"/>
        <rFont val="Calibri"/>
        <scheme val="minor"/>
      </rPr>
      <t xml:space="preserve">Commercial Partners </t>
    </r>
    <r>
      <rPr>
        <sz val="12"/>
        <color rgb="FF000000"/>
        <rFont val="Calibri"/>
        <scheme val="minor"/>
      </rPr>
      <t>(Top Left Quadrant)
Low Impact – High Business Performance</t>
    </r>
    <r>
      <rPr>
        <b/>
        <sz val="12"/>
        <color rgb="FF000000"/>
        <rFont val="Calibri"/>
        <scheme val="minor"/>
      </rPr>
      <t xml:space="preserve"> 
Description</t>
    </r>
    <r>
      <rPr>
        <sz val="12"/>
        <color rgb="FF000000"/>
        <rFont val="Calibri"/>
        <scheme val="minor"/>
      </rPr>
      <t xml:space="preserve">: Financially strong but limited alignment with nature-positive goals. Consider if financial gains are strategically important.
</t>
    </r>
    <r>
      <rPr>
        <b/>
        <sz val="12"/>
        <color rgb="FF000000"/>
        <rFont val="Calibri"/>
        <scheme val="minor"/>
      </rPr>
      <t>Score Range</t>
    </r>
    <r>
      <rPr>
        <sz val="12"/>
        <color rgb="FF000000"/>
        <rFont val="Calibri"/>
        <scheme val="minor"/>
      </rPr>
      <t xml:space="preserve">: Impact &lt;50%, Business Performance ≥50%
</t>
    </r>
    <r>
      <rPr>
        <b/>
        <sz val="12"/>
        <color rgb="FF000000"/>
        <rFont val="Calibri"/>
        <scheme val="minor"/>
      </rPr>
      <t xml:space="preserve">
</t>
    </r>
    <r>
      <rPr>
        <sz val="12"/>
        <color rgb="FF000000"/>
        <rFont val="Calibri"/>
        <scheme val="minor"/>
      </rPr>
      <t xml:space="preserve">
4. </t>
    </r>
    <r>
      <rPr>
        <b/>
        <sz val="12"/>
        <color rgb="FF000000"/>
        <rFont val="Calibri"/>
        <scheme val="minor"/>
      </rPr>
      <t>Emerging</t>
    </r>
    <r>
      <rPr>
        <sz val="12"/>
        <color rgb="FF000000"/>
        <rFont val="Calibri"/>
        <scheme val="minor"/>
      </rPr>
      <t xml:space="preserve"> </t>
    </r>
    <r>
      <rPr>
        <b/>
        <sz val="12"/>
        <color rgb="FF000000"/>
        <rFont val="Calibri"/>
        <scheme val="minor"/>
      </rPr>
      <t>Partners</t>
    </r>
    <r>
      <rPr>
        <sz val="12"/>
        <color rgb="FF000000"/>
        <rFont val="Calibri"/>
        <scheme val="minor"/>
      </rPr>
      <t xml:space="preserve"> (Bottom Left Quadrant)
Low Impact – Low Business performance 
</t>
    </r>
    <r>
      <rPr>
        <b/>
        <sz val="12"/>
        <color rgb="FF000000"/>
        <rFont val="Calibri"/>
        <scheme val="minor"/>
      </rPr>
      <t>Description</t>
    </r>
    <r>
      <rPr>
        <sz val="12"/>
        <color rgb="FF000000"/>
        <rFont val="Calibri"/>
        <scheme val="minor"/>
      </rPr>
      <t xml:space="preserve">: Weak alignment and low financial viability. Avoid or reconsider unless justified by external factors (e.g., political, donor-driven, reputational).
</t>
    </r>
    <r>
      <rPr>
        <b/>
        <sz val="12"/>
        <color rgb="FF000000"/>
        <rFont val="Calibri"/>
        <scheme val="minor"/>
      </rPr>
      <t>Score Range</t>
    </r>
    <r>
      <rPr>
        <sz val="12"/>
        <color rgb="FF000000"/>
        <rFont val="Calibri"/>
        <scheme val="minor"/>
      </rPr>
      <t xml:space="preserve">: Impact &lt;50%, Financial &lt;50%
</t>
    </r>
  </si>
  <si>
    <t>What are the Strengths, Weaknesses, Opportunities and Threats for Nature-Positive partnerships in the land(sea)scape?</t>
  </si>
  <si>
    <t>List of partners: (Identified in previous tab or in workshop)</t>
  </si>
  <si>
    <t>Key pointers:</t>
  </si>
  <si>
    <t>STRENGTHS</t>
  </si>
  <si>
    <t>WEAKNESSES</t>
  </si>
  <si>
    <t>Landscape</t>
  </si>
  <si>
    <r>
      <t xml:space="preserve">Pros and cons of the physical land(sea)scape and nature that surrounds it. </t>
    </r>
    <r>
      <rPr>
        <i/>
        <sz val="11"/>
        <color theme="1"/>
        <rFont val="Calibri"/>
        <family val="2"/>
        <scheme val="minor"/>
      </rPr>
      <t>E.g. an endemic bird species, difficult access due to dirt roads, etc.</t>
    </r>
  </si>
  <si>
    <t>Business opportunities</t>
  </si>
  <si>
    <r>
      <t xml:space="preserve">Pros and cons of nature-positive business opportunities. </t>
    </r>
    <r>
      <rPr>
        <i/>
        <sz val="11"/>
        <color theme="1"/>
        <rFont val="Calibri"/>
        <family val="2"/>
        <scheme val="minor"/>
      </rPr>
      <t>E.g. co-marketing with partner, lowering production costs by sharing the same production facility for products, etc.</t>
    </r>
  </si>
  <si>
    <t>Political environment</t>
  </si>
  <si>
    <r>
      <t xml:space="preserve">Political will for nature-positive businneses in the land(sea)scape. </t>
    </r>
    <r>
      <rPr>
        <i/>
        <sz val="11"/>
        <color theme="1"/>
        <rFont val="Calibri"/>
        <family val="2"/>
        <scheme val="minor"/>
      </rPr>
      <t>E.g. new government keen to develop a nature-positive business environment, a local 'ecotourism development plan' developed by the council, etc.</t>
    </r>
  </si>
  <si>
    <t>OPPORTUNITIES</t>
  </si>
  <si>
    <t>THREATS</t>
  </si>
  <si>
    <t>Legal/Policy</t>
  </si>
  <si>
    <r>
      <t xml:space="preserve">Current policy enabling nature-positive change. </t>
    </r>
    <r>
      <rPr>
        <i/>
        <sz val="11"/>
        <color theme="1"/>
        <rFont val="Calibri"/>
        <family val="2"/>
        <scheme val="minor"/>
      </rPr>
      <t>E.g. tax incentives for nature-positive businesses, innovation hub for sustainable business models, etc.</t>
    </r>
  </si>
  <si>
    <t>Socio-economic</t>
  </si>
  <si>
    <r>
      <t xml:space="preserve">Support of local actors including land owners, community, and local businesss for nature-positive ambitions. </t>
    </r>
    <r>
      <rPr>
        <i/>
        <sz val="11"/>
        <color theme="1"/>
        <rFont val="Calibri"/>
        <family val="2"/>
        <scheme val="minor"/>
      </rPr>
      <t>E.g. land owners willingness to engage in such acitivites, local market demand for nature-positive products and services, etc.</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</si>
</sst>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25">
    <font>
      <sz val="11"/>
      <color theme="1"/>
      <name val="Calibri"/>
      <family val="2"/>
      <scheme val="minor"/>
    </font>
    <font>
      <b/>
      <sz val="11"/>
      <color theme="1"/>
      <name val="Calibri"/>
      <family val="2"/>
      <scheme val="minor"/>
    </font>
    <font>
      <i/>
      <sz val="11"/>
      <color theme="1"/>
      <name val="Calibri"/>
      <family val="2"/>
      <scheme val="minor"/>
    </font>
    <font>
      <i/>
      <sz val="10"/>
      <color rgb="FF000000"/>
      <name val="Inherit"/>
    </font>
    <font>
      <b/>
      <sz val="11"/>
      <name val="Calibri"/>
      <family val="2"/>
      <scheme val="minor"/>
    </font>
    <font>
      <sz val="11"/>
      <name val="Calibri"/>
      <family val="2"/>
      <scheme val="minor"/>
    </font>
    <font>
      <sz val="11"/>
      <color theme="1"/>
      <name val="Calibri"/>
      <family val="2"/>
      <scheme val="minor"/>
    </font>
    <font>
      <b/>
      <sz val="11"/>
      <color theme="0" tint="-0.34998626667073579"/>
      <name val="Calibri"/>
      <family val="2"/>
      <scheme val="minor"/>
    </font>
    <font>
      <sz val="11"/>
      <color theme="0" tint="-0.34998626667073579"/>
      <name val="Calibri"/>
      <family val="2"/>
      <scheme val="minor"/>
    </font>
    <font>
      <sz val="11"/>
      <color rgb="FF0000FF"/>
      <name val="Calibri"/>
      <family val="2"/>
      <scheme val="minor"/>
    </font>
    <font>
      <b/>
      <sz val="11"/>
      <color rgb="FFFF0000"/>
      <name val="Calibri"/>
      <family val="2"/>
      <scheme val="minor"/>
    </font>
    <font>
      <b/>
      <sz val="11"/>
      <color rgb="FF000000"/>
      <name val="Calibri"/>
      <scheme val="minor"/>
    </font>
    <font>
      <sz val="11"/>
      <color rgb="FF000000"/>
      <name val="Calibri"/>
      <scheme val="minor"/>
    </font>
    <font>
      <b/>
      <sz val="11"/>
      <color rgb="FF000000"/>
      <name val="Calibri"/>
      <family val="2"/>
      <scheme val="minor"/>
    </font>
    <font>
      <i/>
      <sz val="11"/>
      <color rgb="FF000000"/>
      <name val="Calibri"/>
      <scheme val="minor"/>
    </font>
    <font>
      <b/>
      <sz val="11"/>
      <color rgb="FFFF0000"/>
      <name val="Calibri"/>
      <scheme val="minor"/>
    </font>
    <font>
      <b/>
      <sz val="11"/>
      <color rgb="FF000000"/>
      <name val="Calibri"/>
    </font>
    <font>
      <sz val="10"/>
      <color rgb="FF000000"/>
      <name val="Open Sans"/>
      <family val="2"/>
    </font>
    <font>
      <sz val="11"/>
      <color rgb="FF000000"/>
      <name val="Calibri"/>
    </font>
    <font>
      <b/>
      <sz val="11"/>
      <color rgb="FF0000FF"/>
      <name val="Calibri"/>
      <family val="2"/>
      <scheme val="minor"/>
    </font>
    <font>
      <b/>
      <sz val="13.5"/>
      <color theme="1"/>
      <name val="Calibri"/>
      <family val="2"/>
      <scheme val="minor"/>
    </font>
    <font>
      <sz val="12"/>
      <color rgb="FF000000"/>
      <name val="Calibri"/>
      <scheme val="minor"/>
    </font>
    <font>
      <b/>
      <sz val="12"/>
      <color rgb="FF000000"/>
      <name val="Calibri"/>
      <scheme val="minor"/>
    </font>
    <font>
      <sz val="12"/>
      <color theme="1"/>
      <name val="Calibri"/>
      <family val="2"/>
      <scheme val="minor"/>
    </font>
    <font>
      <sz val="11"/>
      <color rgb="FF000000"/>
      <name val="Calibri"/>
      <charset val="1"/>
    </font>
  </fonts>
  <fills count="13">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bgColor indexed="64"/>
      </patternFill>
    </fill>
    <fill>
      <patternFill patternType="solid">
        <fgColor theme="7" tint="0.59999389629810485"/>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theme="7" tint="0.79998168889431442"/>
        <bgColor indexed="64"/>
      </patternFill>
    </fill>
    <fill>
      <patternFill patternType="solid">
        <fgColor theme="8" tint="-0.249977111117893"/>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right/>
      <top style="medium">
        <color rgb="FF000000"/>
      </top>
      <bottom style="medium">
        <color rgb="FF000000"/>
      </bottom>
      <diagonal/>
    </border>
    <border>
      <left/>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right style="thin">
        <color indexed="64"/>
      </right>
      <top/>
      <bottom/>
      <diagonal/>
    </border>
    <border>
      <left style="medium">
        <color indexed="64"/>
      </left>
      <right/>
      <top/>
      <bottom style="medium">
        <color indexed="64"/>
      </bottom>
      <diagonal/>
    </border>
    <border>
      <left/>
      <right style="thin">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thin">
        <color rgb="FF000000"/>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rgb="FF000000"/>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thin">
        <color rgb="FF000000"/>
      </top>
      <bottom/>
      <diagonal/>
    </border>
    <border>
      <left style="thin">
        <color indexed="64"/>
      </left>
      <right/>
      <top/>
      <bottom style="thin">
        <color indexed="64"/>
      </bottom>
      <diagonal/>
    </border>
    <border>
      <left style="medium">
        <color rgb="FF000000"/>
      </left>
      <right style="medium">
        <color rgb="FF000000"/>
      </right>
      <top/>
      <bottom style="thin">
        <color rgb="FF000000"/>
      </bottom>
      <diagonal/>
    </border>
    <border>
      <left style="thin">
        <color rgb="FF000000"/>
      </left>
      <right/>
      <top style="thin">
        <color rgb="FF000000"/>
      </top>
      <bottom style="thin">
        <color rgb="FF000000"/>
      </bottom>
      <diagonal/>
    </border>
    <border>
      <left style="medium">
        <color indexed="64"/>
      </left>
      <right style="medium">
        <color indexed="64"/>
      </right>
      <top/>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6" fillId="0" borderId="0" applyFont="0" applyFill="0" applyBorder="0" applyAlignment="0" applyProtection="0"/>
  </cellStyleXfs>
  <cellXfs count="211">
    <xf numFmtId="0" fontId="0" fillId="0" borderId="0" xfId="0"/>
    <xf numFmtId="0" fontId="1" fillId="0" borderId="0" xfId="0" applyFont="1"/>
    <xf numFmtId="0" fontId="0" fillId="0" borderId="1" xfId="0" applyBorder="1"/>
    <xf numFmtId="0" fontId="0" fillId="0" borderId="1" xfId="0" applyBorder="1" applyAlignment="1">
      <alignment vertical="top"/>
    </xf>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vertical="top"/>
    </xf>
    <xf numFmtId="0" fontId="0" fillId="0" borderId="8" xfId="0" applyBorder="1"/>
    <xf numFmtId="0" fontId="4" fillId="0" borderId="1" xfId="0" applyFont="1" applyBorder="1" applyAlignment="1">
      <alignment horizontal="center" vertical="top" wrapText="1"/>
    </xf>
    <xf numFmtId="0" fontId="1" fillId="0" borderId="1" xfId="0" applyFont="1" applyBorder="1" applyAlignment="1">
      <alignment vertical="top"/>
    </xf>
    <xf numFmtId="0" fontId="4" fillId="0" borderId="1" xfId="0" applyFont="1" applyBorder="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0" fillId="0" borderId="9" xfId="0" applyBorder="1"/>
    <xf numFmtId="0" fontId="1" fillId="0" borderId="10" xfId="0" applyFont="1" applyBorder="1" applyAlignment="1">
      <alignment horizontal="center" wrapText="1"/>
    </xf>
    <xf numFmtId="0" fontId="1" fillId="0" borderId="11" xfId="0" applyFont="1" applyBorder="1"/>
    <xf numFmtId="0" fontId="0" fillId="0" borderId="12" xfId="0" applyBorder="1"/>
    <xf numFmtId="0" fontId="0" fillId="0" borderId="13" xfId="0" applyBorder="1" applyAlignment="1">
      <alignment vertical="top"/>
    </xf>
    <xf numFmtId="0" fontId="0" fillId="0" borderId="14" xfId="0" applyBorder="1" applyAlignment="1">
      <alignment vertical="top" wrapText="1"/>
    </xf>
    <xf numFmtId="0" fontId="0" fillId="0" borderId="15" xfId="0" applyBorder="1" applyAlignment="1">
      <alignment vertical="top"/>
    </xf>
    <xf numFmtId="0" fontId="0" fillId="0" borderId="16" xfId="0" applyBorder="1" applyAlignment="1">
      <alignment vertical="top" wrapText="1"/>
    </xf>
    <xf numFmtId="0" fontId="1" fillId="0" borderId="10" xfId="0" applyFont="1" applyBorder="1" applyAlignment="1">
      <alignment horizontal="center" vertical="center"/>
    </xf>
    <xf numFmtId="0" fontId="1" fillId="0" borderId="7" xfId="0" applyFont="1" applyBorder="1" applyAlignment="1">
      <alignment horizontal="center" wrapText="1"/>
    </xf>
    <xf numFmtId="0" fontId="1" fillId="0" borderId="5" xfId="0" applyFont="1" applyBorder="1" applyAlignment="1">
      <alignment horizontal="center" vertical="top"/>
    </xf>
    <xf numFmtId="0" fontId="1" fillId="0" borderId="14" xfId="0" applyFont="1" applyBorder="1" applyAlignment="1">
      <alignment horizontal="center" vertical="center" wrapText="1"/>
    </xf>
    <xf numFmtId="0" fontId="0" fillId="0" borderId="1" xfId="0" applyBorder="1" applyAlignment="1">
      <alignment wrapText="1"/>
    </xf>
    <xf numFmtId="0" fontId="0" fillId="0" borderId="3" xfId="0" applyBorder="1" applyAlignment="1">
      <alignment wrapText="1"/>
    </xf>
    <xf numFmtId="0" fontId="11" fillId="0" borderId="1" xfId="0" applyFont="1" applyBorder="1" applyAlignment="1">
      <alignment horizontal="center" vertical="top" wrapText="1"/>
    </xf>
    <xf numFmtId="0" fontId="1" fillId="0" borderId="17" xfId="0" applyFont="1" applyBorder="1" applyAlignment="1">
      <alignment horizontal="center" vertical="center"/>
    </xf>
    <xf numFmtId="0" fontId="0" fillId="0" borderId="0" xfId="0" applyAlignment="1">
      <alignment wrapText="1"/>
    </xf>
    <xf numFmtId="0" fontId="3" fillId="0" borderId="22" xfId="0" applyFont="1" applyBorder="1" applyAlignment="1">
      <alignment horizontal="left" vertical="center" wrapText="1"/>
    </xf>
    <xf numFmtId="0" fontId="0" fillId="0" borderId="23" xfId="0" applyBorder="1"/>
    <xf numFmtId="0" fontId="0" fillId="0" borderId="24" xfId="0" applyBorder="1"/>
    <xf numFmtId="0" fontId="2" fillId="0" borderId="25" xfId="0" applyFont="1" applyBorder="1" applyAlignment="1">
      <alignment horizontal="right"/>
    </xf>
    <xf numFmtId="0" fontId="0" fillId="0" borderId="26" xfId="0" applyBorder="1"/>
    <xf numFmtId="0" fontId="0" fillId="0" borderId="25" xfId="0" applyBorder="1" applyAlignment="1">
      <alignment horizontal="right"/>
    </xf>
    <xf numFmtId="0" fontId="0" fillId="0" borderId="25" xfId="0" applyBorder="1"/>
    <xf numFmtId="0" fontId="0" fillId="0" borderId="27" xfId="0" applyBorder="1"/>
    <xf numFmtId="0" fontId="0" fillId="0" borderId="28" xfId="0" applyBorder="1"/>
    <xf numFmtId="0" fontId="0" fillId="0" borderId="29" xfId="0" applyBorder="1"/>
    <xf numFmtId="0" fontId="11" fillId="0" borderId="1" xfId="0" applyFont="1" applyBorder="1" applyAlignment="1">
      <alignment vertical="top" wrapText="1"/>
    </xf>
    <xf numFmtId="164" fontId="0" fillId="0" borderId="0" xfId="0" applyNumberFormat="1" applyAlignment="1">
      <alignment horizontal="center" vertical="center"/>
    </xf>
    <xf numFmtId="165" fontId="1" fillId="0" borderId="30" xfId="1" applyNumberFormat="1" applyFont="1" applyBorder="1" applyAlignment="1">
      <alignment wrapText="1"/>
    </xf>
    <xf numFmtId="164" fontId="13" fillId="2" borderId="37" xfId="0" applyNumberFormat="1" applyFont="1" applyFill="1" applyBorder="1" applyAlignment="1">
      <alignment horizontal="center" vertical="center" wrapText="1"/>
    </xf>
    <xf numFmtId="164" fontId="1" fillId="0" borderId="21" xfId="0" applyNumberFormat="1" applyFont="1" applyBorder="1" applyAlignment="1">
      <alignment horizontal="center" vertical="center" wrapText="1"/>
    </xf>
    <xf numFmtId="0" fontId="0" fillId="3" borderId="0" xfId="0" applyFill="1"/>
    <xf numFmtId="0" fontId="12" fillId="4" borderId="5" xfId="0" applyFont="1" applyFill="1" applyBorder="1" applyAlignment="1">
      <alignment vertical="top" wrapText="1"/>
    </xf>
    <xf numFmtId="164" fontId="12" fillId="4" borderId="37" xfId="0" applyNumberFormat="1" applyFont="1" applyFill="1" applyBorder="1" applyAlignment="1">
      <alignment vertical="center" wrapText="1"/>
    </xf>
    <xf numFmtId="0" fontId="9" fillId="4" borderId="38" xfId="0" applyFont="1" applyFill="1" applyBorder="1" applyAlignment="1">
      <alignment horizontal="center" vertical="center" wrapText="1"/>
    </xf>
    <xf numFmtId="0" fontId="0" fillId="4" borderId="14" xfId="0" applyFill="1" applyBorder="1" applyAlignment="1">
      <alignment horizontal="center" vertical="center" wrapText="1"/>
    </xf>
    <xf numFmtId="164" fontId="0" fillId="4" borderId="6" xfId="0" applyNumberFormat="1" applyFill="1" applyBorder="1" applyAlignment="1">
      <alignment horizontal="center" vertical="center" wrapText="1"/>
    </xf>
    <xf numFmtId="0" fontId="9" fillId="4" borderId="13" xfId="0" applyFont="1" applyFill="1" applyBorder="1" applyAlignment="1">
      <alignment horizontal="center" vertical="center" wrapText="1"/>
    </xf>
    <xf numFmtId="0" fontId="0" fillId="4" borderId="0" xfId="0" applyFill="1"/>
    <xf numFmtId="0" fontId="0" fillId="4" borderId="1" xfId="0" applyFill="1" applyBorder="1" applyAlignment="1">
      <alignment vertical="top" wrapText="1"/>
    </xf>
    <xf numFmtId="0" fontId="9" fillId="4" borderId="39" xfId="0" applyFont="1" applyFill="1" applyBorder="1" applyAlignment="1">
      <alignment horizontal="center" vertical="center" wrapText="1"/>
    </xf>
    <xf numFmtId="0" fontId="9" fillId="4" borderId="32" xfId="0" applyFont="1" applyFill="1" applyBorder="1" applyAlignment="1">
      <alignment horizontal="center" vertical="center" wrapText="1"/>
    </xf>
    <xf numFmtId="0" fontId="0" fillId="4" borderId="33" xfId="0" applyFill="1" applyBorder="1" applyAlignment="1">
      <alignment horizontal="center" vertical="center" wrapText="1"/>
    </xf>
    <xf numFmtId="0" fontId="1" fillId="4" borderId="1" xfId="0" applyFont="1" applyFill="1" applyBorder="1" applyAlignment="1">
      <alignment horizontal="center" vertical="center"/>
    </xf>
    <xf numFmtId="0" fontId="0" fillId="4" borderId="5" xfId="0" applyFill="1" applyBorder="1" applyAlignment="1">
      <alignment vertical="top" wrapText="1"/>
    </xf>
    <xf numFmtId="164" fontId="0" fillId="4" borderId="37" xfId="0" applyNumberFormat="1" applyFill="1" applyBorder="1" applyAlignment="1">
      <alignment horizontal="center" vertical="center" wrapText="1"/>
    </xf>
    <xf numFmtId="0" fontId="0" fillId="5" borderId="0" xfId="0" applyFill="1"/>
    <xf numFmtId="0" fontId="17" fillId="0" borderId="0" xfId="0" applyFont="1"/>
    <xf numFmtId="0" fontId="1" fillId="0" borderId="0" xfId="0" applyFont="1" applyAlignment="1">
      <alignment horizontal="center" wrapText="1"/>
    </xf>
    <xf numFmtId="0" fontId="3" fillId="0" borderId="0" xfId="0" applyFont="1" applyAlignment="1">
      <alignment horizontal="left" vertical="center" wrapText="1"/>
    </xf>
    <xf numFmtId="0" fontId="0" fillId="0" borderId="41" xfId="0" applyBorder="1"/>
    <xf numFmtId="0" fontId="3" fillId="0" borderId="0" xfId="0" applyFont="1" applyAlignment="1">
      <alignment vertical="center"/>
    </xf>
    <xf numFmtId="0" fontId="1" fillId="0" borderId="0" xfId="0" applyFont="1" applyAlignment="1">
      <alignment horizontal="center" vertical="center"/>
    </xf>
    <xf numFmtId="0" fontId="12" fillId="4" borderId="1" xfId="0" applyFont="1" applyFill="1" applyBorder="1" applyAlignment="1">
      <alignment vertical="top" wrapText="1"/>
    </xf>
    <xf numFmtId="0" fontId="1" fillId="4" borderId="3" xfId="0" applyFont="1" applyFill="1" applyBorder="1" applyAlignment="1">
      <alignment horizontal="center" vertical="center" wrapText="1"/>
    </xf>
    <xf numFmtId="0" fontId="1" fillId="0" borderId="5" xfId="0" applyFont="1" applyBorder="1" applyAlignment="1">
      <alignment horizontal="center" vertical="center" wrapText="1"/>
    </xf>
    <xf numFmtId="0" fontId="0" fillId="4" borderId="5" xfId="0" applyFill="1" applyBorder="1" applyAlignment="1">
      <alignment horizontal="center" vertical="center" wrapText="1"/>
    </xf>
    <xf numFmtId="0" fontId="0" fillId="4" borderId="48" xfId="0" applyFill="1" applyBorder="1" applyAlignment="1">
      <alignment horizontal="center" vertical="center" wrapText="1"/>
    </xf>
    <xf numFmtId="0" fontId="1" fillId="0" borderId="50" xfId="0" applyFont="1" applyBorder="1" applyAlignment="1">
      <alignment horizontal="center" vertical="center" wrapText="1"/>
    </xf>
    <xf numFmtId="164" fontId="0" fillId="4" borderId="50" xfId="0" applyNumberFormat="1" applyFill="1" applyBorder="1" applyAlignment="1">
      <alignment horizontal="center" vertical="center" wrapText="1"/>
    </xf>
    <xf numFmtId="0" fontId="0" fillId="6" borderId="0" xfId="0" applyFill="1"/>
    <xf numFmtId="0" fontId="7" fillId="6" borderId="0" xfId="0" applyFont="1" applyFill="1" applyAlignment="1">
      <alignment horizontal="center" vertical="center"/>
    </xf>
    <xf numFmtId="0" fontId="8" fillId="6" borderId="0" xfId="0" applyFont="1" applyFill="1" applyAlignment="1">
      <alignment horizontal="center" vertical="center"/>
    </xf>
    <xf numFmtId="0" fontId="11" fillId="0" borderId="38" xfId="0" applyFont="1" applyBorder="1" applyAlignment="1">
      <alignment vertical="center" wrapText="1"/>
    </xf>
    <xf numFmtId="0" fontId="0" fillId="6" borderId="1" xfId="0" applyFill="1" applyBorder="1" applyAlignment="1">
      <alignment vertical="top" wrapText="1"/>
    </xf>
    <xf numFmtId="0" fontId="12" fillId="6" borderId="5" xfId="0" applyFont="1" applyFill="1" applyBorder="1" applyAlignment="1">
      <alignment vertical="top" wrapText="1"/>
    </xf>
    <xf numFmtId="164" fontId="12" fillId="6" borderId="37" xfId="0" applyNumberFormat="1" applyFont="1" applyFill="1" applyBorder="1" applyAlignment="1">
      <alignment vertical="center" wrapText="1"/>
    </xf>
    <xf numFmtId="0" fontId="9" fillId="6" borderId="38" xfId="0" applyFont="1" applyFill="1" applyBorder="1" applyAlignment="1">
      <alignment horizontal="center" vertical="center" wrapText="1"/>
    </xf>
    <xf numFmtId="0" fontId="0" fillId="6" borderId="14" xfId="0" applyFill="1" applyBorder="1" applyAlignment="1">
      <alignment horizontal="center" vertical="center" wrapText="1"/>
    </xf>
    <xf numFmtId="164" fontId="0" fillId="6" borderId="6" xfId="0" applyNumberFormat="1" applyFill="1" applyBorder="1" applyAlignment="1">
      <alignment horizontal="center" vertical="center" wrapText="1"/>
    </xf>
    <xf numFmtId="0" fontId="9" fillId="6" borderId="13" xfId="0" applyFont="1" applyFill="1" applyBorder="1" applyAlignment="1">
      <alignment horizontal="center" vertical="center" wrapText="1"/>
    </xf>
    <xf numFmtId="0" fontId="0" fillId="6" borderId="5" xfId="0" applyFill="1" applyBorder="1" applyAlignment="1">
      <alignment horizontal="center" vertical="center" wrapText="1"/>
    </xf>
    <xf numFmtId="164" fontId="0" fillId="6" borderId="50" xfId="0" applyNumberFormat="1" applyFill="1" applyBorder="1" applyAlignment="1">
      <alignment horizontal="center" vertical="center" wrapText="1"/>
    </xf>
    <xf numFmtId="0" fontId="0" fillId="6" borderId="5" xfId="0" applyFill="1" applyBorder="1" applyAlignment="1">
      <alignment vertical="top" wrapText="1"/>
    </xf>
    <xf numFmtId="0" fontId="12" fillId="6" borderId="1" xfId="0" applyFont="1" applyFill="1" applyBorder="1" applyAlignment="1">
      <alignment vertical="top" wrapText="1"/>
    </xf>
    <xf numFmtId="0" fontId="0" fillId="6" borderId="2" xfId="0" applyFill="1" applyBorder="1" applyAlignment="1">
      <alignment horizontal="left" vertical="top" wrapText="1"/>
    </xf>
    <xf numFmtId="164" fontId="0" fillId="0" borderId="47" xfId="0" applyNumberFormat="1" applyBorder="1" applyAlignment="1">
      <alignment horizontal="center" vertical="center" wrapText="1"/>
    </xf>
    <xf numFmtId="164" fontId="0" fillId="0" borderId="56" xfId="0" applyNumberFormat="1" applyBorder="1" applyAlignment="1">
      <alignment horizontal="center" vertical="center" wrapText="1"/>
    </xf>
    <xf numFmtId="165" fontId="1" fillId="0" borderId="35" xfId="1" applyNumberFormat="1" applyFont="1" applyBorder="1" applyAlignment="1">
      <alignment wrapText="1"/>
    </xf>
    <xf numFmtId="164" fontId="0" fillId="6" borderId="47" xfId="0" applyNumberFormat="1" applyFill="1" applyBorder="1" applyAlignment="1">
      <alignment horizontal="center" vertical="center" wrapText="1"/>
    </xf>
    <xf numFmtId="164" fontId="0" fillId="6" borderId="57" xfId="0" applyNumberFormat="1" applyFill="1" applyBorder="1" applyAlignment="1">
      <alignment horizontal="center" vertical="center" wrapText="1"/>
    </xf>
    <xf numFmtId="164" fontId="0" fillId="4" borderId="57" xfId="0" applyNumberFormat="1" applyFill="1" applyBorder="1" applyAlignment="1">
      <alignment horizontal="center" vertical="center" wrapText="1"/>
    </xf>
    <xf numFmtId="0" fontId="0" fillId="6" borderId="58" xfId="0" applyFill="1" applyBorder="1" applyAlignment="1">
      <alignment horizontal="center" vertical="center" wrapText="1"/>
    </xf>
    <xf numFmtId="164" fontId="0" fillId="6" borderId="59" xfId="0" applyNumberFormat="1" applyFill="1" applyBorder="1" applyAlignment="1">
      <alignment horizontal="center" vertical="center" wrapText="1"/>
    </xf>
    <xf numFmtId="0" fontId="1" fillId="4" borderId="1" xfId="0" applyFont="1" applyFill="1" applyBorder="1" applyAlignment="1">
      <alignment vertical="top" wrapText="1"/>
    </xf>
    <xf numFmtId="0" fontId="11" fillId="4" borderId="5" xfId="0" applyFont="1" applyFill="1" applyBorder="1" applyAlignment="1">
      <alignment vertical="top" wrapText="1"/>
    </xf>
    <xf numFmtId="164" fontId="11" fillId="4" borderId="37" xfId="0" applyNumberFormat="1" applyFont="1" applyFill="1" applyBorder="1" applyAlignment="1">
      <alignment vertical="center" wrapText="1"/>
    </xf>
    <xf numFmtId="0" fontId="19" fillId="4" borderId="39" xfId="0" applyFont="1" applyFill="1" applyBorder="1" applyAlignment="1">
      <alignment horizontal="center" vertical="center" wrapText="1"/>
    </xf>
    <xf numFmtId="0" fontId="1" fillId="4" borderId="14" xfId="0" applyFont="1" applyFill="1" applyBorder="1" applyAlignment="1">
      <alignment horizontal="center" vertical="center" wrapText="1"/>
    </xf>
    <xf numFmtId="164" fontId="1" fillId="4" borderId="6" xfId="0" applyNumberFormat="1" applyFont="1" applyFill="1" applyBorder="1" applyAlignment="1">
      <alignment horizontal="center" vertical="center" wrapText="1"/>
    </xf>
    <xf numFmtId="0" fontId="19" fillId="4" borderId="32" xfId="0" applyFont="1" applyFill="1" applyBorder="1" applyAlignment="1">
      <alignment horizontal="center" vertical="center" wrapText="1"/>
    </xf>
    <xf numFmtId="0" fontId="1" fillId="4" borderId="33" xfId="0" applyFont="1" applyFill="1" applyBorder="1" applyAlignment="1">
      <alignment horizontal="center" vertical="center" wrapText="1"/>
    </xf>
    <xf numFmtId="0" fontId="19" fillId="4" borderId="42" xfId="0" applyFont="1" applyFill="1" applyBorder="1" applyAlignment="1">
      <alignment horizontal="center" vertical="center" wrapText="1"/>
    </xf>
    <xf numFmtId="0" fontId="1" fillId="4" borderId="60" xfId="0" applyFont="1" applyFill="1" applyBorder="1" applyAlignment="1">
      <alignment horizontal="center" vertical="center" wrapText="1"/>
    </xf>
    <xf numFmtId="164" fontId="1" fillId="4" borderId="49" xfId="0" applyNumberFormat="1" applyFont="1" applyFill="1" applyBorder="1" applyAlignment="1">
      <alignment horizontal="center" vertical="center" wrapText="1"/>
    </xf>
    <xf numFmtId="0" fontId="1" fillId="6" borderId="0" xfId="0" applyFont="1" applyFill="1"/>
    <xf numFmtId="0" fontId="1" fillId="4" borderId="0" xfId="0" applyFont="1" applyFill="1"/>
    <xf numFmtId="0" fontId="0" fillId="0" borderId="0" xfId="0" applyAlignment="1">
      <alignment horizontal="center" wrapText="1"/>
    </xf>
    <xf numFmtId="0" fontId="20" fillId="0" borderId="0" xfId="0" applyFont="1"/>
    <xf numFmtId="0" fontId="1" fillId="8" borderId="3" xfId="0" applyFont="1" applyFill="1" applyBorder="1" applyAlignment="1">
      <alignment horizontal="center" vertical="center" wrapText="1"/>
    </xf>
    <xf numFmtId="0" fontId="1" fillId="8" borderId="1" xfId="0" applyFont="1" applyFill="1" applyBorder="1" applyAlignment="1">
      <alignment vertical="top" wrapText="1"/>
    </xf>
    <xf numFmtId="0" fontId="11" fillId="8" borderId="5" xfId="0" applyFont="1" applyFill="1" applyBorder="1" applyAlignment="1">
      <alignment vertical="top" wrapText="1"/>
    </xf>
    <xf numFmtId="164" fontId="11" fillId="8" borderId="37" xfId="0" applyNumberFormat="1" applyFont="1" applyFill="1" applyBorder="1" applyAlignment="1">
      <alignment vertical="center" wrapText="1"/>
    </xf>
    <xf numFmtId="0" fontId="19" fillId="8" borderId="39" xfId="0" applyFont="1" applyFill="1" applyBorder="1" applyAlignment="1">
      <alignment horizontal="center" vertical="center" wrapText="1"/>
    </xf>
    <xf numFmtId="0" fontId="1" fillId="8" borderId="14" xfId="0" applyFont="1" applyFill="1" applyBorder="1" applyAlignment="1">
      <alignment horizontal="center" vertical="center" wrapText="1"/>
    </xf>
    <xf numFmtId="9" fontId="1" fillId="8" borderId="6" xfId="0" applyNumberFormat="1" applyFont="1" applyFill="1" applyBorder="1" applyAlignment="1">
      <alignment horizontal="center" vertical="center" wrapText="1"/>
    </xf>
    <xf numFmtId="0" fontId="19" fillId="8" borderId="32" xfId="0" applyFont="1" applyFill="1" applyBorder="1" applyAlignment="1">
      <alignment horizontal="center" vertical="center" wrapText="1"/>
    </xf>
    <xf numFmtId="0" fontId="1" fillId="8" borderId="33" xfId="0" applyFont="1" applyFill="1" applyBorder="1" applyAlignment="1">
      <alignment horizontal="center" vertical="center" wrapText="1"/>
    </xf>
    <xf numFmtId="0" fontId="19" fillId="8" borderId="42" xfId="0" applyFont="1" applyFill="1" applyBorder="1" applyAlignment="1">
      <alignment horizontal="center" vertical="center" wrapText="1"/>
    </xf>
    <xf numFmtId="0" fontId="1" fillId="8" borderId="60" xfId="0" applyFont="1" applyFill="1" applyBorder="1" applyAlignment="1">
      <alignment horizontal="center" vertical="center" wrapText="1"/>
    </xf>
    <xf numFmtId="9" fontId="1" fillId="8" borderId="51" xfId="0" applyNumberFormat="1" applyFont="1" applyFill="1" applyBorder="1" applyAlignment="1">
      <alignment horizontal="center" vertical="center" wrapText="1"/>
    </xf>
    <xf numFmtId="0" fontId="0" fillId="8" borderId="5" xfId="0" applyFill="1" applyBorder="1"/>
    <xf numFmtId="0" fontId="1" fillId="8" borderId="6" xfId="0" applyFont="1" applyFill="1" applyBorder="1" applyAlignment="1">
      <alignment horizontal="center" vertical="center"/>
    </xf>
    <xf numFmtId="0" fontId="0" fillId="8" borderId="6" xfId="0" applyFill="1" applyBorder="1"/>
    <xf numFmtId="164" fontId="0" fillId="8" borderId="6" xfId="0" applyNumberFormat="1" applyFill="1" applyBorder="1" applyAlignment="1">
      <alignment horizontal="center" vertical="center"/>
    </xf>
    <xf numFmtId="0" fontId="1" fillId="0" borderId="56" xfId="0" applyFont="1" applyBorder="1" applyAlignment="1">
      <alignment horizontal="center" vertical="center" wrapText="1"/>
    </xf>
    <xf numFmtId="164" fontId="0" fillId="4" borderId="21" xfId="0" applyNumberFormat="1" applyFill="1" applyBorder="1" applyAlignment="1">
      <alignment horizontal="center" vertical="center" wrapText="1"/>
    </xf>
    <xf numFmtId="0" fontId="11" fillId="0" borderId="62" xfId="0" applyFont="1" applyBorder="1" applyAlignment="1">
      <alignment vertical="center" wrapText="1"/>
    </xf>
    <xf numFmtId="0" fontId="1" fillId="0" borderId="58" xfId="0" applyFont="1" applyBorder="1" applyAlignment="1">
      <alignment horizontal="center" vertical="center" wrapText="1"/>
    </xf>
    <xf numFmtId="0" fontId="1" fillId="0" borderId="59" xfId="0" applyFont="1" applyBorder="1" applyAlignment="1">
      <alignment horizontal="center" vertical="center" wrapText="1"/>
    </xf>
    <xf numFmtId="0" fontId="1" fillId="8" borderId="10" xfId="0" applyFont="1" applyFill="1" applyBorder="1" applyAlignment="1">
      <alignment horizontal="center" vertical="center"/>
    </xf>
    <xf numFmtId="0" fontId="1" fillId="9" borderId="10" xfId="0" applyFont="1" applyFill="1" applyBorder="1" applyAlignment="1">
      <alignment horizontal="center" vertical="center"/>
    </xf>
    <xf numFmtId="0" fontId="1" fillId="10" borderId="10" xfId="0" applyFont="1" applyFill="1" applyBorder="1" applyAlignment="1">
      <alignment horizontal="center"/>
    </xf>
    <xf numFmtId="0" fontId="0" fillId="0" borderId="63" xfId="0" applyBorder="1"/>
    <xf numFmtId="0" fontId="1" fillId="12" borderId="10" xfId="0" applyFont="1" applyFill="1" applyBorder="1" applyAlignment="1">
      <alignment horizontal="center"/>
    </xf>
    <xf numFmtId="0" fontId="1" fillId="0" borderId="0" xfId="0" applyFont="1" applyAlignment="1">
      <alignment horizontal="center"/>
    </xf>
    <xf numFmtId="0" fontId="15" fillId="0" borderId="0" xfId="0" applyFont="1" applyAlignment="1">
      <alignment horizontal="left" vertical="top" wrapText="1"/>
    </xf>
    <xf numFmtId="0" fontId="1" fillId="0" borderId="6"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6" borderId="2"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4"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0" fillId="6" borderId="0" xfId="0" applyFont="1" applyFill="1" applyAlignment="1">
      <alignment horizontal="center"/>
    </xf>
    <xf numFmtId="0" fontId="12" fillId="0" borderId="52" xfId="0" applyFont="1" applyBorder="1" applyAlignment="1">
      <alignment horizontal="center" vertical="top" wrapText="1"/>
    </xf>
    <xf numFmtId="0" fontId="12" fillId="0" borderId="36" xfId="0" applyFont="1" applyBorder="1" applyAlignment="1">
      <alignment horizontal="center" vertical="top" wrapText="1"/>
    </xf>
    <xf numFmtId="0" fontId="12" fillId="0" borderId="54" xfId="0" applyFont="1" applyBorder="1" applyAlignment="1">
      <alignment horizontal="center" vertical="top" wrapText="1"/>
    </xf>
    <xf numFmtId="0" fontId="18" fillId="0" borderId="7" xfId="0" applyFont="1" applyBorder="1" applyAlignment="1">
      <alignment horizontal="center" vertical="top" wrapText="1"/>
    </xf>
    <xf numFmtId="0" fontId="12" fillId="0" borderId="53" xfId="0" applyFont="1" applyBorder="1" applyAlignment="1">
      <alignment horizontal="center" vertical="top" wrapText="1"/>
    </xf>
    <xf numFmtId="0" fontId="0" fillId="0" borderId="53" xfId="0" applyBorder="1" applyAlignment="1">
      <alignment horizontal="center" vertical="top" wrapText="1"/>
    </xf>
    <xf numFmtId="0" fontId="0" fillId="0" borderId="54" xfId="0" applyBorder="1" applyAlignment="1">
      <alignment horizontal="center" vertical="top" wrapText="1"/>
    </xf>
    <xf numFmtId="0" fontId="18" fillId="0" borderId="30" xfId="0" applyFont="1" applyBorder="1" applyAlignment="1">
      <alignment horizontal="center" vertical="top" wrapText="1"/>
    </xf>
    <xf numFmtId="0" fontId="0" fillId="0" borderId="35" xfId="0" applyBorder="1" applyAlignment="1">
      <alignment horizontal="center" vertical="top" wrapText="1"/>
    </xf>
    <xf numFmtId="0" fontId="0" fillId="0" borderId="31" xfId="0" applyBorder="1" applyAlignment="1">
      <alignment horizontal="center" vertical="top" wrapText="1"/>
    </xf>
    <xf numFmtId="165" fontId="1" fillId="6" borderId="0" xfId="1" applyNumberFormat="1" applyFont="1" applyFill="1" applyBorder="1" applyAlignment="1">
      <alignment horizontal="center" wrapText="1"/>
    </xf>
    <xf numFmtId="165" fontId="1" fillId="0" borderId="23" xfId="1" applyNumberFormat="1" applyFont="1" applyBorder="1" applyAlignment="1">
      <alignment horizontal="center" wrapText="1"/>
    </xf>
    <xf numFmtId="0" fontId="21" fillId="7" borderId="0" xfId="0" applyFont="1" applyFill="1" applyAlignment="1">
      <alignment horizontal="left" vertical="top" wrapText="1"/>
    </xf>
    <xf numFmtId="0" fontId="23" fillId="7" borderId="0" xfId="0" applyFont="1" applyFill="1" applyAlignment="1">
      <alignment horizontal="left" vertical="top"/>
    </xf>
    <xf numFmtId="9" fontId="0" fillId="8" borderId="34" xfId="0" applyNumberFormat="1" applyFill="1" applyBorder="1" applyAlignment="1">
      <alignment horizontal="center"/>
    </xf>
    <xf numFmtId="9" fontId="0" fillId="8" borderId="21" xfId="0" applyNumberFormat="1" applyFill="1" applyBorder="1" applyAlignment="1">
      <alignment horizontal="center"/>
    </xf>
    <xf numFmtId="9" fontId="0" fillId="8" borderId="55" xfId="0" applyNumberFormat="1" applyFill="1" applyBorder="1" applyAlignment="1">
      <alignment horizontal="center"/>
    </xf>
    <xf numFmtId="0" fontId="21" fillId="11" borderId="0" xfId="0" applyFont="1" applyFill="1" applyAlignment="1">
      <alignment horizontal="left" vertical="top" wrapText="1"/>
    </xf>
    <xf numFmtId="0" fontId="2" fillId="0" borderId="43" xfId="0" applyFont="1" applyBorder="1" applyAlignment="1">
      <alignment horizontal="center" vertical="center"/>
    </xf>
    <xf numFmtId="0" fontId="2" fillId="0" borderId="14" xfId="0" applyFont="1" applyBorder="1" applyAlignment="1">
      <alignment horizontal="center" vertical="center"/>
    </xf>
    <xf numFmtId="0" fontId="1" fillId="0" borderId="11" xfId="0" applyFont="1" applyBorder="1" applyAlignment="1">
      <alignment horizontal="center" vertical="center" textRotation="90"/>
    </xf>
    <xf numFmtId="0" fontId="1" fillId="0" borderId="13" xfId="0" applyFont="1" applyBorder="1" applyAlignment="1">
      <alignment horizontal="center" vertical="center" textRotation="90"/>
    </xf>
    <xf numFmtId="0" fontId="2" fillId="0" borderId="40" xfId="0" applyFont="1" applyBorder="1" applyAlignment="1">
      <alignment horizontal="center" vertical="center"/>
    </xf>
    <xf numFmtId="0" fontId="2" fillId="0" borderId="5" xfId="0" applyFont="1" applyBorder="1" applyAlignment="1">
      <alignment horizontal="center" vertical="center"/>
    </xf>
    <xf numFmtId="0" fontId="2" fillId="0" borderId="5" xfId="0" applyFont="1" applyBorder="1" applyAlignment="1">
      <alignment horizontal="center" vertical="center" wrapText="1"/>
    </xf>
    <xf numFmtId="0" fontId="0" fillId="0" borderId="42" xfId="0" applyBorder="1" applyAlignment="1">
      <alignment horizontal="center"/>
    </xf>
    <xf numFmtId="0" fontId="0" fillId="0" borderId="39" xfId="0" applyBorder="1" applyAlignment="1">
      <alignment horizontal="center"/>
    </xf>
    <xf numFmtId="0" fontId="0" fillId="0" borderId="8" xfId="0" applyBorder="1" applyAlignment="1">
      <alignment horizontal="center"/>
    </xf>
    <xf numFmtId="0" fontId="0" fillId="0" borderId="44" xfId="0" applyBorder="1" applyAlignment="1">
      <alignment horizontal="center"/>
    </xf>
    <xf numFmtId="0" fontId="0" fillId="0" borderId="45" xfId="0" applyBorder="1" applyAlignment="1">
      <alignment horizontal="center"/>
    </xf>
    <xf numFmtId="0" fontId="0" fillId="0" borderId="46" xfId="0" applyBorder="1" applyAlignment="1">
      <alignment horizont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0" fillId="8" borderId="17" xfId="0" applyFill="1" applyBorder="1" applyAlignment="1">
      <alignment horizontal="center" vertical="center" wrapText="1"/>
    </xf>
    <xf numFmtId="0" fontId="0" fillId="8" borderId="61" xfId="0" applyFill="1" applyBorder="1" applyAlignment="1">
      <alignment horizontal="center" vertical="center" wrapText="1"/>
    </xf>
    <xf numFmtId="0" fontId="0" fillId="8" borderId="18" xfId="0" applyFill="1" applyBorder="1" applyAlignment="1">
      <alignment horizontal="center" vertical="center" wrapText="1"/>
    </xf>
    <xf numFmtId="0" fontId="0" fillId="9" borderId="17" xfId="0" applyFill="1" applyBorder="1" applyAlignment="1">
      <alignment horizontal="center" vertical="center" wrapText="1"/>
    </xf>
    <xf numFmtId="0" fontId="0" fillId="9" borderId="61" xfId="0" applyFill="1" applyBorder="1" applyAlignment="1">
      <alignment horizontal="center" vertical="center" wrapText="1"/>
    </xf>
    <xf numFmtId="0" fontId="0" fillId="9" borderId="18" xfId="0" applyFill="1" applyBorder="1" applyAlignment="1">
      <alignment horizontal="center" vertical="center" wrapText="1"/>
    </xf>
    <xf numFmtId="0" fontId="0" fillId="10" borderId="17" xfId="0" applyFill="1" applyBorder="1" applyAlignment="1">
      <alignment horizontal="center" vertical="center" wrapText="1"/>
    </xf>
    <xf numFmtId="0" fontId="0" fillId="10" borderId="61" xfId="0" applyFill="1" applyBorder="1" applyAlignment="1">
      <alignment horizontal="center" vertical="center" wrapText="1"/>
    </xf>
    <xf numFmtId="0" fontId="0" fillId="10" borderId="18" xfId="0" applyFill="1" applyBorder="1" applyAlignment="1">
      <alignment horizontal="center" vertical="center" wrapText="1"/>
    </xf>
    <xf numFmtId="0" fontId="24" fillId="12" borderId="17" xfId="0" applyFont="1" applyFill="1" applyBorder="1" applyAlignment="1">
      <alignment horizontal="center" vertical="center" wrapText="1"/>
    </xf>
    <xf numFmtId="0" fontId="0" fillId="12" borderId="61" xfId="0" applyFill="1" applyBorder="1" applyAlignment="1">
      <alignment horizontal="center" vertical="center" wrapText="1"/>
    </xf>
    <xf numFmtId="0" fontId="0" fillId="12" borderId="18" xfId="0" applyFill="1" applyBorder="1" applyAlignment="1">
      <alignment horizontal="center" vertical="center" wrapText="1"/>
    </xf>
    <xf numFmtId="0" fontId="1" fillId="0" borderId="48" xfId="0" applyFont="1" applyBorder="1" applyAlignment="1">
      <alignment horizontal="center" vertical="center"/>
    </xf>
    <xf numFmtId="0" fontId="1" fillId="0" borderId="64"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1" fillId="0" borderId="19" xfId="0" applyFont="1" applyBorder="1" applyAlignment="1">
      <alignment vertical="top" wrapText="1"/>
    </xf>
    <xf numFmtId="0" fontId="1" fillId="0" borderId="20" xfId="0" applyFont="1" applyBorder="1" applyAlignment="1">
      <alignment vertical="top" wrapText="1"/>
    </xf>
    <xf numFmtId="0" fontId="12" fillId="0" borderId="22" xfId="0" applyFont="1" applyBorder="1" applyAlignment="1">
      <alignment horizontal="left" vertical="top" wrapText="1"/>
    </xf>
    <xf numFmtId="0" fontId="12" fillId="0" borderId="27" xfId="0" applyFont="1" applyBorder="1" applyAlignment="1">
      <alignment horizontal="left" vertical="top" wrapText="1"/>
    </xf>
    <xf numFmtId="0" fontId="11" fillId="0" borderId="17" xfId="0" applyFont="1" applyBorder="1" applyAlignment="1">
      <alignment horizontal="left" vertical="top" wrapText="1"/>
    </xf>
    <xf numFmtId="0" fontId="12" fillId="0" borderId="18" xfId="0" applyFont="1" applyBorder="1" applyAlignment="1">
      <alignment horizontal="left" vertical="top" wrapText="1"/>
    </xf>
    <xf numFmtId="0" fontId="12" fillId="0" borderId="17" xfId="0" applyFont="1" applyBorder="1" applyAlignment="1">
      <alignment horizontal="left" vertical="top" wrapText="1"/>
    </xf>
    <xf numFmtId="0" fontId="1" fillId="0" borderId="0" xfId="0" applyFont="1" applyAlignment="1">
      <alignment horizontal="center" vertical="center"/>
    </xf>
  </cellXfs>
  <cellStyles count="2">
    <cellStyle name="Normal" xfId="0" builtinId="0"/>
    <cellStyle name="Percent" xfId="1" builtinId="5"/>
  </cellStyles>
  <dxfs count="0"/>
  <tableStyles count="0" defaultTableStyle="TableStyleMedium2" defaultPivotStyle="PivotStyleLight16"/>
  <colors>
    <mruColors>
      <color rgb="FFC7AC12"/>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CC0C0-14F7-4162-9F4D-E791A1F405BF}">
  <dimension ref="A1:I53"/>
  <sheetViews>
    <sheetView workbookViewId="0">
      <selection activeCell="A3" sqref="A3"/>
    </sheetView>
  </sheetViews>
  <sheetFormatPr defaultRowHeight="15" customHeight="1"/>
  <cols>
    <col min="1" max="1" width="36.26953125" customWidth="1"/>
    <col min="2" max="2" width="19.1796875" customWidth="1"/>
    <col min="3" max="3" width="24.453125" customWidth="1"/>
    <col min="4" max="4" width="30.81640625" customWidth="1"/>
    <col min="5" max="5" width="30.26953125" customWidth="1"/>
    <col min="6" max="6" width="25.1796875" customWidth="1"/>
    <col min="7" max="7" width="32.54296875" customWidth="1"/>
    <col min="8" max="8" width="23.26953125" customWidth="1"/>
    <col min="9" max="9" width="30.1796875" customWidth="1"/>
  </cols>
  <sheetData>
    <row r="1" spans="1:9" ht="14.5">
      <c r="A1" s="139" t="s">
        <v>0</v>
      </c>
      <c r="B1" s="139"/>
      <c r="C1" s="139"/>
    </row>
    <row r="3" spans="1:9" s="6" customFormat="1" ht="101.5">
      <c r="A3" s="40" t="s">
        <v>1</v>
      </c>
      <c r="B3" s="5" t="s">
        <v>2</v>
      </c>
      <c r="C3" s="27" t="s">
        <v>3</v>
      </c>
      <c r="D3" s="27" t="s">
        <v>4</v>
      </c>
      <c r="E3" s="27" t="s">
        <v>5</v>
      </c>
      <c r="F3" s="27" t="s">
        <v>6</v>
      </c>
      <c r="G3" s="8" t="s">
        <v>7</v>
      </c>
    </row>
    <row r="4" spans="1:9" ht="14.5">
      <c r="A4" s="3"/>
      <c r="B4" s="2"/>
      <c r="C4" s="2"/>
      <c r="D4" s="2"/>
      <c r="E4" s="2"/>
      <c r="F4" s="5"/>
      <c r="G4" s="5"/>
    </row>
    <row r="5" spans="1:9" ht="14.5">
      <c r="A5" s="9" t="s">
        <v>8</v>
      </c>
      <c r="B5" s="2"/>
      <c r="C5" s="2"/>
      <c r="D5" s="2"/>
      <c r="E5" s="2"/>
      <c r="F5" s="5"/>
      <c r="G5" s="5"/>
    </row>
    <row r="6" spans="1:9" ht="14.5">
      <c r="A6" s="3" t="s">
        <v>9</v>
      </c>
      <c r="B6" s="2"/>
      <c r="C6" s="2"/>
      <c r="D6" s="2"/>
      <c r="E6" s="2"/>
      <c r="F6" s="5"/>
      <c r="G6" s="5"/>
    </row>
    <row r="7" spans="1:9" ht="14.5">
      <c r="A7" s="3" t="s">
        <v>10</v>
      </c>
      <c r="B7" s="2"/>
      <c r="C7" s="2"/>
      <c r="D7" s="2"/>
      <c r="E7" s="2"/>
      <c r="F7" s="5"/>
      <c r="G7" s="5"/>
    </row>
    <row r="8" spans="1:9" ht="14.5">
      <c r="A8" s="3" t="s">
        <v>11</v>
      </c>
      <c r="B8" s="2"/>
      <c r="C8" s="2"/>
      <c r="D8" s="2"/>
      <c r="E8" s="2"/>
      <c r="F8" s="5"/>
      <c r="G8" s="5"/>
    </row>
    <row r="9" spans="1:9" ht="14.5">
      <c r="A9" s="3" t="s">
        <v>12</v>
      </c>
      <c r="B9" s="2"/>
      <c r="C9" s="2"/>
      <c r="D9" s="2"/>
      <c r="E9" s="25"/>
      <c r="F9" s="5"/>
      <c r="G9" s="5"/>
      <c r="H9" s="26"/>
      <c r="I9" s="26"/>
    </row>
    <row r="10" spans="1:9" ht="14.5">
      <c r="A10" s="3" t="s">
        <v>13</v>
      </c>
      <c r="B10" s="2"/>
      <c r="C10" s="2"/>
      <c r="D10" s="2"/>
      <c r="E10" s="2"/>
      <c r="F10" s="5"/>
      <c r="G10" s="5"/>
    </row>
    <row r="11" spans="1:9" ht="14.5">
      <c r="A11" s="3" t="s">
        <v>14</v>
      </c>
      <c r="B11" s="2"/>
      <c r="C11" s="2"/>
      <c r="D11" s="2"/>
      <c r="E11" s="2"/>
      <c r="F11" s="5"/>
      <c r="G11" s="5"/>
    </row>
    <row r="12" spans="1:9" ht="14.5">
      <c r="A12" s="3" t="s">
        <v>15</v>
      </c>
      <c r="B12" s="2"/>
      <c r="C12" s="2"/>
      <c r="D12" s="2"/>
      <c r="E12" s="2"/>
      <c r="F12" s="5"/>
      <c r="G12" s="5"/>
    </row>
    <row r="13" spans="1:9" ht="14.5">
      <c r="A13" s="3" t="s">
        <v>16</v>
      </c>
      <c r="B13" s="2"/>
      <c r="C13" s="2"/>
      <c r="D13" s="2"/>
      <c r="E13" s="2"/>
      <c r="F13" s="5"/>
      <c r="G13" s="5"/>
    </row>
    <row r="14" spans="1:9" ht="14.5">
      <c r="A14" s="3"/>
      <c r="B14" s="2"/>
      <c r="C14" s="2"/>
      <c r="D14" s="2"/>
      <c r="E14" s="2"/>
      <c r="F14" s="5"/>
      <c r="G14" s="5"/>
    </row>
    <row r="15" spans="1:9" ht="14.5">
      <c r="A15" s="9" t="s">
        <v>17</v>
      </c>
      <c r="B15" s="2"/>
      <c r="C15" s="2"/>
      <c r="D15" s="2"/>
      <c r="E15" s="2"/>
      <c r="F15" s="5"/>
      <c r="G15" s="5"/>
    </row>
    <row r="16" spans="1:9" ht="14.5">
      <c r="A16" s="3" t="s">
        <v>18</v>
      </c>
      <c r="B16" s="2"/>
      <c r="C16" s="2"/>
      <c r="D16" s="2"/>
      <c r="E16" s="2"/>
      <c r="F16" s="5"/>
      <c r="G16" s="5"/>
    </row>
    <row r="17" spans="1:7" ht="14.5">
      <c r="A17" s="3" t="s">
        <v>19</v>
      </c>
      <c r="B17" s="2"/>
      <c r="C17" s="2"/>
      <c r="D17" s="2"/>
      <c r="E17" s="2"/>
      <c r="F17" s="5"/>
      <c r="G17" s="5"/>
    </row>
    <row r="18" spans="1:7" ht="14.5">
      <c r="A18" s="3" t="s">
        <v>20</v>
      </c>
      <c r="B18" s="2"/>
      <c r="C18" s="2"/>
      <c r="D18" s="2"/>
      <c r="E18" s="2"/>
      <c r="F18" s="5"/>
      <c r="G18" s="5"/>
    </row>
    <row r="19" spans="1:7" ht="14.5">
      <c r="A19" s="3" t="s">
        <v>21</v>
      </c>
      <c r="B19" s="2"/>
      <c r="C19" s="2"/>
      <c r="D19" s="2"/>
      <c r="E19" s="2"/>
      <c r="F19" s="5"/>
      <c r="G19" s="5"/>
    </row>
    <row r="20" spans="1:7" ht="14.5">
      <c r="A20" s="3" t="s">
        <v>22</v>
      </c>
      <c r="B20" s="2"/>
      <c r="C20" s="2"/>
      <c r="D20" s="2"/>
      <c r="E20" s="2"/>
      <c r="F20" s="5"/>
      <c r="G20" s="5"/>
    </row>
    <row r="21" spans="1:7" ht="14.5">
      <c r="A21" s="3" t="s">
        <v>23</v>
      </c>
      <c r="B21" s="2"/>
      <c r="C21" s="2"/>
      <c r="D21" s="2"/>
      <c r="E21" s="2"/>
      <c r="F21" s="5"/>
      <c r="G21" s="5"/>
    </row>
    <row r="22" spans="1:7" ht="14.5">
      <c r="A22" s="3"/>
      <c r="B22" s="2"/>
      <c r="C22" s="2"/>
      <c r="D22" s="2"/>
      <c r="E22" s="2"/>
      <c r="F22" s="5"/>
      <c r="G22" s="5"/>
    </row>
    <row r="23" spans="1:7" ht="14.5">
      <c r="A23" s="9" t="s">
        <v>24</v>
      </c>
      <c r="B23" s="2"/>
      <c r="C23" s="2"/>
      <c r="D23" s="2"/>
      <c r="E23" s="2"/>
      <c r="F23" s="5"/>
      <c r="G23" s="5"/>
    </row>
    <row r="24" spans="1:7" ht="14.5">
      <c r="A24" s="3" t="s">
        <v>25</v>
      </c>
      <c r="B24" s="2"/>
      <c r="C24" s="2"/>
      <c r="D24" s="2"/>
      <c r="E24" s="2"/>
      <c r="F24" s="5"/>
      <c r="G24" s="5"/>
    </row>
    <row r="25" spans="1:7" ht="14.5">
      <c r="A25" s="3" t="s">
        <v>26</v>
      </c>
      <c r="B25" s="2"/>
      <c r="C25" s="2"/>
      <c r="D25" s="2"/>
      <c r="E25" s="2"/>
      <c r="F25" s="5"/>
      <c r="G25" s="5"/>
    </row>
    <row r="26" spans="1:7" ht="14.5">
      <c r="A26" s="3" t="s">
        <v>27</v>
      </c>
      <c r="B26" s="2"/>
      <c r="C26" s="2"/>
      <c r="D26" s="2"/>
      <c r="E26" s="2"/>
      <c r="F26" s="5"/>
      <c r="G26" s="5"/>
    </row>
    <row r="27" spans="1:7" ht="14.5">
      <c r="A27" s="3"/>
      <c r="B27" s="2"/>
      <c r="C27" s="2"/>
      <c r="D27" s="2"/>
      <c r="E27" s="2"/>
      <c r="F27" s="5"/>
      <c r="G27" s="5"/>
    </row>
    <row r="28" spans="1:7" ht="14.5">
      <c r="A28" s="9" t="s">
        <v>28</v>
      </c>
      <c r="B28" s="2"/>
      <c r="C28" s="2"/>
      <c r="D28" s="2"/>
      <c r="E28" s="2"/>
      <c r="F28" s="5"/>
      <c r="G28" s="5"/>
    </row>
    <row r="29" spans="1:7" ht="14.5">
      <c r="A29" s="3" t="s">
        <v>29</v>
      </c>
      <c r="B29" s="2"/>
      <c r="C29" s="2"/>
      <c r="D29" s="2"/>
      <c r="E29" s="2"/>
      <c r="F29" s="5"/>
      <c r="G29" s="5"/>
    </row>
    <row r="30" spans="1:7" ht="14.5">
      <c r="A30" s="3" t="s">
        <v>30</v>
      </c>
      <c r="B30" s="2"/>
      <c r="C30" s="2"/>
      <c r="D30" s="2"/>
      <c r="E30" s="2"/>
      <c r="F30" s="5"/>
      <c r="G30" s="5"/>
    </row>
    <row r="31" spans="1:7" ht="14.5">
      <c r="A31" s="3" t="s">
        <v>31</v>
      </c>
      <c r="B31" s="2"/>
      <c r="C31" s="2"/>
      <c r="D31" s="2"/>
      <c r="E31" s="2"/>
      <c r="F31" s="5"/>
      <c r="G31" s="5"/>
    </row>
    <row r="32" spans="1:7" ht="14.5">
      <c r="A32" s="3" t="s">
        <v>32</v>
      </c>
      <c r="B32" s="2"/>
      <c r="C32" s="2"/>
      <c r="D32" s="2"/>
      <c r="E32" s="2"/>
      <c r="F32" s="5"/>
      <c r="G32" s="5"/>
    </row>
    <row r="33" spans="1:7" ht="14.5">
      <c r="A33" s="3" t="s">
        <v>33</v>
      </c>
      <c r="B33" s="2"/>
      <c r="C33" s="2"/>
      <c r="D33" s="2"/>
      <c r="E33" s="2"/>
      <c r="F33" s="5"/>
      <c r="G33" s="5"/>
    </row>
    <row r="34" spans="1:7" ht="14.5">
      <c r="A34" s="3"/>
      <c r="B34" s="2"/>
      <c r="C34" s="2"/>
      <c r="D34" s="2"/>
      <c r="E34" s="2"/>
      <c r="F34" s="5"/>
      <c r="G34" s="5"/>
    </row>
    <row r="35" spans="1:7" ht="14.5">
      <c r="A35" s="10" t="s">
        <v>34</v>
      </c>
      <c r="B35" s="2"/>
      <c r="C35" s="2"/>
      <c r="D35" s="2"/>
      <c r="E35" s="2"/>
      <c r="F35" s="5"/>
      <c r="G35" s="5"/>
    </row>
    <row r="36" spans="1:7" ht="14.5">
      <c r="A36" s="11" t="s">
        <v>35</v>
      </c>
      <c r="B36" s="2"/>
      <c r="C36" s="2"/>
      <c r="D36" s="2"/>
      <c r="E36" s="2"/>
      <c r="F36" s="5"/>
      <c r="G36" s="5"/>
    </row>
    <row r="37" spans="1:7" ht="14.5">
      <c r="A37" s="11" t="s">
        <v>36</v>
      </c>
      <c r="B37" s="2"/>
      <c r="C37" s="2"/>
      <c r="D37" s="2"/>
      <c r="E37" s="2"/>
      <c r="F37" s="5"/>
      <c r="G37" s="5"/>
    </row>
    <row r="38" spans="1:7" ht="14.5">
      <c r="A38" s="11" t="s">
        <v>37</v>
      </c>
      <c r="B38" s="2"/>
      <c r="C38" s="2"/>
      <c r="D38" s="2"/>
      <c r="E38" s="2"/>
      <c r="F38" s="5"/>
      <c r="G38" s="5"/>
    </row>
    <row r="39" spans="1:7" ht="14.5">
      <c r="A39" s="11" t="s">
        <v>38</v>
      </c>
      <c r="B39" s="2"/>
      <c r="C39" s="2"/>
      <c r="D39" s="2"/>
      <c r="E39" s="2"/>
      <c r="F39" s="5"/>
      <c r="G39" s="5"/>
    </row>
    <row r="40" spans="1:7" ht="14.5">
      <c r="A40" s="11"/>
      <c r="B40" s="2"/>
      <c r="C40" s="2"/>
      <c r="D40" s="2"/>
      <c r="E40" s="2"/>
      <c r="F40" s="5"/>
      <c r="G40" s="5"/>
    </row>
    <row r="41" spans="1:7" ht="14.5">
      <c r="A41" s="10" t="s">
        <v>39</v>
      </c>
      <c r="B41" s="2"/>
      <c r="C41" s="2"/>
      <c r="D41" s="2"/>
      <c r="E41" s="2"/>
      <c r="F41" s="5"/>
      <c r="G41" s="5"/>
    </row>
    <row r="42" spans="1:7" ht="14.5">
      <c r="A42" s="11" t="s">
        <v>40</v>
      </c>
      <c r="B42" s="2"/>
      <c r="C42" s="2"/>
      <c r="D42" s="2"/>
      <c r="E42" s="2"/>
      <c r="F42" s="5"/>
      <c r="G42" s="5"/>
    </row>
    <row r="43" spans="1:7" ht="14.5">
      <c r="A43" s="11" t="s">
        <v>41</v>
      </c>
      <c r="B43" s="2"/>
      <c r="C43" s="2"/>
      <c r="D43" s="2"/>
      <c r="E43" s="2"/>
      <c r="F43" s="5"/>
      <c r="G43" s="5"/>
    </row>
    <row r="44" spans="1:7" ht="14.5">
      <c r="A44" s="11"/>
      <c r="B44" s="2"/>
      <c r="C44" s="2"/>
      <c r="D44" s="2"/>
      <c r="E44" s="2"/>
      <c r="F44" s="5"/>
      <c r="G44" s="5"/>
    </row>
    <row r="45" spans="1:7" ht="14.5">
      <c r="A45" s="10" t="s">
        <v>42</v>
      </c>
      <c r="B45" s="2"/>
      <c r="C45" s="2"/>
      <c r="D45" s="2"/>
      <c r="E45" s="2"/>
      <c r="F45" s="5"/>
      <c r="G45" s="5"/>
    </row>
    <row r="46" spans="1:7" ht="43.5">
      <c r="A46" s="12" t="s">
        <v>43</v>
      </c>
      <c r="B46" s="2"/>
      <c r="C46" s="2"/>
      <c r="D46" s="2"/>
      <c r="E46" s="2"/>
      <c r="F46" s="5"/>
      <c r="G46" s="5"/>
    </row>
    <row r="47" spans="1:7" ht="14.5">
      <c r="A47" s="11" t="s">
        <v>44</v>
      </c>
      <c r="B47" s="2"/>
      <c r="C47" s="2"/>
      <c r="D47" s="2"/>
      <c r="E47" s="2"/>
      <c r="F47" s="5"/>
      <c r="G47" s="5"/>
    </row>
    <row r="48" spans="1:7" ht="14.5">
      <c r="A48" s="11"/>
      <c r="B48" s="2"/>
      <c r="C48" s="2"/>
      <c r="D48" s="2"/>
      <c r="E48" s="2"/>
      <c r="F48" s="5"/>
      <c r="G48" s="5"/>
    </row>
    <row r="49" spans="1:7" ht="14.5">
      <c r="A49" s="10" t="s">
        <v>45</v>
      </c>
      <c r="B49" s="2"/>
      <c r="C49" s="2"/>
      <c r="D49" s="2"/>
      <c r="E49" s="2"/>
      <c r="F49" s="2"/>
      <c r="G49" s="2"/>
    </row>
    <row r="50" spans="1:7" ht="14.5">
      <c r="A50" s="11" t="s">
        <v>46</v>
      </c>
      <c r="B50" s="2"/>
      <c r="C50" s="2"/>
      <c r="D50" s="2"/>
      <c r="E50" s="2"/>
      <c r="F50" s="2"/>
      <c r="G50" s="2"/>
    </row>
    <row r="51" spans="1:7" ht="14.5">
      <c r="A51" s="11" t="s">
        <v>47</v>
      </c>
      <c r="B51" s="2"/>
      <c r="C51" s="2"/>
      <c r="D51" s="2"/>
      <c r="E51" s="2"/>
      <c r="F51" s="2"/>
      <c r="G51" s="2"/>
    </row>
    <row r="52" spans="1:7" ht="14.5">
      <c r="A52" s="11" t="s">
        <v>48</v>
      </c>
      <c r="B52" s="2"/>
      <c r="C52" s="2"/>
      <c r="D52" s="2"/>
      <c r="E52" s="2"/>
      <c r="F52" s="2"/>
      <c r="G52" s="2"/>
    </row>
    <row r="53" spans="1:7" ht="14.5">
      <c r="A53" s="11" t="s">
        <v>49</v>
      </c>
      <c r="B53" s="2"/>
      <c r="C53" s="2"/>
      <c r="D53" s="2"/>
      <c r="E53" s="2"/>
      <c r="F53" s="2"/>
      <c r="G53" s="2"/>
    </row>
  </sheetData>
  <mergeCells count="1">
    <mergeCell ref="A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3285F-63AC-4822-A2DB-393F89F9F57B}">
  <dimension ref="A1:BF90"/>
  <sheetViews>
    <sheetView workbookViewId="0">
      <pane xSplit="4" ySplit="6" topLeftCell="E7" activePane="bottomRight" state="frozen"/>
      <selection pane="topRight" activeCell="D1" sqref="D1"/>
      <selection pane="bottomLeft" activeCell="A4" sqref="A4"/>
      <selection pane="bottomRight" activeCell="E10" sqref="E10"/>
    </sheetView>
  </sheetViews>
  <sheetFormatPr defaultRowHeight="15" customHeight="1"/>
  <cols>
    <col min="1" max="1" width="18.7265625" style="1" customWidth="1"/>
    <col min="2" max="2" width="26.453125" customWidth="1"/>
    <col min="3" max="3" width="38.7265625" customWidth="1"/>
    <col min="4" max="4" width="15.81640625" style="41" customWidth="1"/>
    <col min="5" max="5" width="24.453125" customWidth="1"/>
    <col min="6" max="6" width="20.7265625" customWidth="1"/>
    <col min="7" max="7" width="16" customWidth="1"/>
    <col min="8" max="8" width="24" customWidth="1"/>
    <col min="9" max="9" width="20.7265625" customWidth="1"/>
    <col min="10" max="10" width="18.1796875" customWidth="1"/>
    <col min="11" max="11" width="26.54296875" customWidth="1"/>
    <col min="12" max="12" width="19.81640625" customWidth="1"/>
    <col min="13" max="13" width="18" customWidth="1"/>
    <col min="14" max="14" width="28.7265625" customWidth="1"/>
    <col min="15" max="15" width="19.7265625" customWidth="1"/>
    <col min="16" max="16" width="15" customWidth="1"/>
    <col min="17" max="17" width="23" customWidth="1"/>
    <col min="18" max="18" width="19.7265625" customWidth="1"/>
    <col min="19" max="19" width="18.1796875" customWidth="1"/>
    <col min="20" max="30" width="9.1796875" style="74"/>
    <col min="31" max="31" width="9.1796875" style="74" customWidth="1"/>
    <col min="32" max="32" width="9.1796875" style="74"/>
    <col min="33" max="33" width="14" style="74" customWidth="1"/>
    <col min="34" max="34" width="18.81640625" style="74" customWidth="1"/>
    <col min="35" max="58" width="9.1796875" style="74"/>
  </cols>
  <sheetData>
    <row r="1" spans="1:58" ht="15" customHeight="1">
      <c r="A1" s="140" t="s">
        <v>50</v>
      </c>
      <c r="B1" s="140"/>
      <c r="C1" s="140"/>
      <c r="D1" s="140"/>
    </row>
    <row r="2" spans="1:58" ht="15" customHeight="1">
      <c r="A2" s="140"/>
      <c r="B2" s="140"/>
      <c r="C2" s="140"/>
      <c r="D2" s="140"/>
    </row>
    <row r="3" spans="1:58" ht="15" customHeight="1">
      <c r="A3" s="140"/>
      <c r="B3" s="140"/>
      <c r="C3" s="140"/>
      <c r="D3" s="140"/>
    </row>
    <row r="4" spans="1:58" ht="15" customHeight="1">
      <c r="A4" s="140"/>
      <c r="B4" s="140"/>
      <c r="C4" s="140"/>
      <c r="D4" s="140"/>
    </row>
    <row r="5" spans="1:58" ht="36.75" customHeight="1">
      <c r="A5" s="140"/>
      <c r="B5" s="140"/>
      <c r="C5" s="140"/>
      <c r="D5" s="140"/>
      <c r="E5" s="154" t="s">
        <v>51</v>
      </c>
      <c r="F5" s="155"/>
      <c r="G5" s="156"/>
      <c r="H5" s="157" t="s">
        <v>52</v>
      </c>
      <c r="I5" s="158"/>
      <c r="J5" s="156"/>
      <c r="K5" s="157" t="s">
        <v>52</v>
      </c>
      <c r="L5" s="159"/>
      <c r="M5" s="160"/>
      <c r="N5" s="157" t="s">
        <v>53</v>
      </c>
      <c r="O5" s="159"/>
      <c r="P5" s="159"/>
      <c r="Q5" s="161" t="s">
        <v>53</v>
      </c>
      <c r="R5" s="162"/>
      <c r="S5" s="163"/>
    </row>
    <row r="6" spans="1:58" ht="58">
      <c r="A6" s="4" t="s">
        <v>54</v>
      </c>
      <c r="B6" s="4" t="s">
        <v>55</v>
      </c>
      <c r="C6" s="23" t="s">
        <v>56</v>
      </c>
      <c r="D6" s="43" t="s">
        <v>57</v>
      </c>
      <c r="E6" s="77" t="s">
        <v>58</v>
      </c>
      <c r="F6" s="69" t="s">
        <v>59</v>
      </c>
      <c r="G6" s="129" t="s">
        <v>60</v>
      </c>
      <c r="H6" s="77" t="s">
        <v>58</v>
      </c>
      <c r="I6" s="24" t="s">
        <v>59</v>
      </c>
      <c r="J6" s="72" t="s">
        <v>61</v>
      </c>
      <c r="K6" s="77" t="s">
        <v>58</v>
      </c>
      <c r="L6" s="24" t="s">
        <v>59</v>
      </c>
      <c r="M6" s="72" t="s">
        <v>62</v>
      </c>
      <c r="N6" s="77" t="s">
        <v>58</v>
      </c>
      <c r="O6" s="24" t="s">
        <v>59</v>
      </c>
      <c r="P6" s="72" t="s">
        <v>62</v>
      </c>
      <c r="Q6" s="131" t="s">
        <v>58</v>
      </c>
      <c r="R6" s="132" t="s">
        <v>59</v>
      </c>
      <c r="S6" s="133" t="s">
        <v>62</v>
      </c>
      <c r="AG6" s="153" t="s">
        <v>63</v>
      </c>
      <c r="AH6" s="153"/>
    </row>
    <row r="7" spans="1:58" s="52" customFormat="1" ht="48" customHeight="1">
      <c r="A7" s="57" t="s">
        <v>64</v>
      </c>
      <c r="B7" s="53" t="s">
        <v>65</v>
      </c>
      <c r="C7" s="58" t="s">
        <v>66</v>
      </c>
      <c r="D7" s="59">
        <v>3</v>
      </c>
      <c r="E7" s="48" t="s">
        <v>67</v>
      </c>
      <c r="F7" s="49">
        <f>INDEX($AG$13:$AH$16,MATCH(E7,$AG$13:$AG$16,0),2)</f>
        <v>2</v>
      </c>
      <c r="G7" s="130">
        <f>D7*F7</f>
        <v>6</v>
      </c>
      <c r="H7" s="51" t="s">
        <v>68</v>
      </c>
      <c r="I7" s="49">
        <f>INDEX($AG$13:$AH$16,MATCH(H7,$AG$13:$AG$16,0),2)</f>
        <v>1</v>
      </c>
      <c r="J7" s="50">
        <f>I7*D7</f>
        <v>3</v>
      </c>
      <c r="K7" s="51" t="s">
        <v>67</v>
      </c>
      <c r="L7" s="49">
        <f>INDEX($AG$13:$AH$16,MATCH(K7,$AG$13:$AG$16,0),2)</f>
        <v>2</v>
      </c>
      <c r="M7" s="50">
        <f>L7*D7</f>
        <v>6</v>
      </c>
      <c r="N7" s="51" t="s">
        <v>68</v>
      </c>
      <c r="O7" s="49">
        <f>INDEX($AG$13:$AH$16,MATCH(N7,$AG$13:$AG$16,0),2)</f>
        <v>1</v>
      </c>
      <c r="P7" s="50">
        <f>O7*D7</f>
        <v>3</v>
      </c>
      <c r="Q7" s="51" t="s">
        <v>67</v>
      </c>
      <c r="R7" s="70">
        <f>INDEX($AG$13:$AH$16,MATCH(Q7,$AG$13:$AG$16,0),2)</f>
        <v>2</v>
      </c>
      <c r="S7" s="73">
        <f>R7*D7</f>
        <v>6</v>
      </c>
      <c r="T7" s="74"/>
      <c r="U7" s="74"/>
      <c r="V7" s="74"/>
      <c r="W7" s="74"/>
      <c r="X7" s="74"/>
      <c r="Y7" s="74"/>
      <c r="Z7" s="74"/>
      <c r="AA7" s="74"/>
      <c r="AB7" s="74"/>
      <c r="AC7" s="74"/>
      <c r="AD7" s="74"/>
      <c r="AE7" s="74"/>
      <c r="AF7" s="74"/>
      <c r="AG7" s="75" t="s">
        <v>69</v>
      </c>
      <c r="AH7" s="75" t="s">
        <v>70</v>
      </c>
      <c r="AI7" s="74"/>
      <c r="AJ7" s="74"/>
      <c r="AK7" s="74"/>
      <c r="AL7" s="74"/>
      <c r="AM7" s="74"/>
      <c r="AN7" s="74"/>
      <c r="AO7" s="74"/>
      <c r="AP7" s="74"/>
      <c r="AQ7" s="74"/>
      <c r="AR7" s="74"/>
      <c r="AS7" s="74"/>
      <c r="AT7" s="74"/>
      <c r="AU7" s="74"/>
      <c r="AV7" s="74"/>
      <c r="AW7" s="74"/>
      <c r="AX7" s="74"/>
      <c r="AY7" s="74"/>
      <c r="AZ7" s="74"/>
      <c r="BA7" s="74"/>
      <c r="BB7" s="74"/>
      <c r="BC7" s="74"/>
      <c r="BD7" s="74"/>
      <c r="BE7" s="74"/>
      <c r="BF7" s="74"/>
    </row>
    <row r="8" spans="1:58" s="52" customFormat="1" ht="67.5" customHeight="1">
      <c r="A8" s="151" t="s">
        <v>71</v>
      </c>
      <c r="B8" s="67" t="s">
        <v>72</v>
      </c>
      <c r="C8" s="46" t="s">
        <v>73</v>
      </c>
      <c r="D8" s="47">
        <v>3</v>
      </c>
      <c r="E8" s="48" t="s">
        <v>67</v>
      </c>
      <c r="F8" s="49">
        <f>INDEX($AG$13:$AH$16,MATCH(E8,$AG$13:$AG$16,0),2)</f>
        <v>2</v>
      </c>
      <c r="G8" s="50">
        <f>D8*F8</f>
        <v>6</v>
      </c>
      <c r="H8" s="51" t="s">
        <v>67</v>
      </c>
      <c r="I8" s="49">
        <f>INDEX($AG$13:$AH$16,MATCH(H8,$AG$13:$AG$16,0),2)</f>
        <v>2</v>
      </c>
      <c r="J8" s="50">
        <f>I8*D8</f>
        <v>6</v>
      </c>
      <c r="K8" s="51" t="s">
        <v>67</v>
      </c>
      <c r="L8" s="49">
        <f>INDEX($AG$13:$AH$16,MATCH(K8,$AG$13:$AG$16,0),2)</f>
        <v>2</v>
      </c>
      <c r="M8" s="50">
        <f>L8*D8</f>
        <v>6</v>
      </c>
      <c r="N8" s="51" t="s">
        <v>68</v>
      </c>
      <c r="O8" s="49">
        <f>INDEX($AG$13:$AH$16,MATCH(N8,$AG$13:$AG$16,0),2)</f>
        <v>1</v>
      </c>
      <c r="P8" s="50">
        <f t="shared" ref="P8:P25" si="0">O8*D8</f>
        <v>3</v>
      </c>
      <c r="Q8" s="51" t="s">
        <v>74</v>
      </c>
      <c r="R8" s="70">
        <f>INDEX($AG$13:$AH$16,MATCH(Q8,$AG$13:$AG$16,0),2)</f>
        <v>0</v>
      </c>
      <c r="S8" s="73">
        <f t="shared" ref="S8:S25" si="1">R8*D8</f>
        <v>0</v>
      </c>
      <c r="T8" s="74"/>
      <c r="U8" s="74"/>
      <c r="V8" s="74"/>
      <c r="W8" s="74"/>
      <c r="X8" s="74"/>
      <c r="Y8" s="74"/>
      <c r="Z8" s="74"/>
      <c r="AA8" s="74"/>
      <c r="AB8" s="74"/>
      <c r="AC8" s="74"/>
      <c r="AD8" s="74"/>
      <c r="AE8" s="74"/>
      <c r="AF8" s="74"/>
      <c r="AG8" s="74"/>
      <c r="AH8" s="74"/>
      <c r="AI8" s="74"/>
      <c r="AJ8" s="74"/>
      <c r="AK8" s="74"/>
      <c r="AL8" s="74"/>
      <c r="AM8" s="74"/>
      <c r="AN8" s="74"/>
      <c r="AO8" s="74"/>
      <c r="AP8" s="74"/>
      <c r="AQ8" s="74"/>
      <c r="AR8" s="74"/>
      <c r="AS8" s="74"/>
      <c r="AT8" s="74"/>
      <c r="AU8" s="74"/>
      <c r="AV8" s="74"/>
      <c r="AW8" s="74"/>
      <c r="AX8" s="74"/>
      <c r="AY8" s="74"/>
      <c r="AZ8" s="74"/>
      <c r="BA8" s="74"/>
      <c r="BB8" s="74"/>
      <c r="BC8" s="74"/>
      <c r="BD8" s="74"/>
      <c r="BE8" s="74"/>
      <c r="BF8" s="74"/>
    </row>
    <row r="9" spans="1:58" s="52" customFormat="1" ht="73.5" customHeight="1">
      <c r="A9" s="152"/>
      <c r="B9" s="53" t="s">
        <v>75</v>
      </c>
      <c r="C9" s="46" t="s">
        <v>76</v>
      </c>
      <c r="D9" s="47">
        <v>3</v>
      </c>
      <c r="E9" s="54" t="s">
        <v>68</v>
      </c>
      <c r="F9" s="49">
        <f>INDEX($AG$13:$AH$16,MATCH(E9,$AG$13:$AG$16,0),2)</f>
        <v>1</v>
      </c>
      <c r="G9" s="50">
        <f>D9*F9</f>
        <v>3</v>
      </c>
      <c r="H9" s="51" t="s">
        <v>67</v>
      </c>
      <c r="I9" s="49">
        <f>INDEX($AG$13:$AH$16,MATCH(H9,$AG$13:$AG$16,0),2)</f>
        <v>2</v>
      </c>
      <c r="J9" s="50">
        <f t="shared" ref="J9:J25" si="2">I9*D9</f>
        <v>6</v>
      </c>
      <c r="K9" s="51" t="s">
        <v>67</v>
      </c>
      <c r="L9" s="49">
        <f>INDEX($AG$13:$AH$16,MATCH(K9,$AG$13:$AG$16,0),2)</f>
        <v>2</v>
      </c>
      <c r="M9" s="50">
        <f>L9*D9</f>
        <v>6</v>
      </c>
      <c r="N9" s="51" t="s">
        <v>67</v>
      </c>
      <c r="O9" s="49">
        <f>INDEX($AG$13:$AH$16,MATCH(N9,$AG$13:$AG$16,0),2)</f>
        <v>2</v>
      </c>
      <c r="P9" s="50">
        <f t="shared" si="0"/>
        <v>6</v>
      </c>
      <c r="Q9" s="51" t="s">
        <v>68</v>
      </c>
      <c r="R9" s="70">
        <f>INDEX($AG$13:$AH$16,MATCH(Q9,$AG$13:$AG$16,0),2)</f>
        <v>1</v>
      </c>
      <c r="S9" s="73">
        <f t="shared" si="1"/>
        <v>3</v>
      </c>
      <c r="T9" s="74"/>
      <c r="U9" s="74"/>
      <c r="V9" s="74"/>
      <c r="W9" s="74"/>
      <c r="X9" s="74"/>
      <c r="Y9" s="74"/>
      <c r="Z9" s="74"/>
      <c r="AA9" s="74"/>
      <c r="AB9" s="74"/>
      <c r="AC9" s="74"/>
      <c r="AD9" s="74"/>
      <c r="AE9" s="74"/>
      <c r="AF9" s="74"/>
      <c r="AG9" s="74"/>
      <c r="AH9" s="74"/>
      <c r="AI9" s="74"/>
      <c r="AJ9" s="74"/>
      <c r="AK9" s="74"/>
      <c r="AL9" s="74"/>
      <c r="AM9" s="74"/>
      <c r="AN9" s="74"/>
      <c r="AO9" s="74"/>
      <c r="AP9" s="74"/>
      <c r="AQ9" s="74"/>
      <c r="AR9" s="74"/>
      <c r="AS9" s="74"/>
      <c r="AT9" s="74"/>
      <c r="AU9" s="74"/>
      <c r="AV9" s="74"/>
      <c r="AW9" s="74"/>
      <c r="AX9" s="74"/>
      <c r="AY9" s="74"/>
      <c r="AZ9" s="74"/>
      <c r="BA9" s="74"/>
      <c r="BB9" s="74"/>
      <c r="BC9" s="74"/>
      <c r="BD9" s="74"/>
      <c r="BE9" s="74"/>
      <c r="BF9" s="74"/>
    </row>
    <row r="10" spans="1:58" s="52" customFormat="1" ht="72" customHeight="1">
      <c r="A10" s="152"/>
      <c r="B10" s="53" t="s">
        <v>77</v>
      </c>
      <c r="C10" s="46" t="s">
        <v>78</v>
      </c>
      <c r="D10" s="47">
        <v>3</v>
      </c>
      <c r="E10" s="54" t="s">
        <v>74</v>
      </c>
      <c r="F10" s="49">
        <f>INDEX($AG$13:$AH$16,MATCH(E10,$AG$13:$AG$16,0),2)</f>
        <v>0</v>
      </c>
      <c r="G10" s="50">
        <f>D10*F10</f>
        <v>0</v>
      </c>
      <c r="H10" s="55" t="s">
        <v>68</v>
      </c>
      <c r="I10" s="56">
        <f>INDEX($AG$13:$AH$16,MATCH(H10,$AG$13:$AG$16,0),2)</f>
        <v>1</v>
      </c>
      <c r="J10" s="50">
        <f t="shared" si="2"/>
        <v>3</v>
      </c>
      <c r="K10" s="55" t="s">
        <v>67</v>
      </c>
      <c r="L10" s="56">
        <f>INDEX($AG$13:$AH$16,MATCH(K10,$AG$13:$AG$16,0),2)</f>
        <v>2</v>
      </c>
      <c r="M10" s="50">
        <f t="shared" ref="M10:M25" si="3">L10*D10</f>
        <v>6</v>
      </c>
      <c r="N10" s="55" t="s">
        <v>74</v>
      </c>
      <c r="O10" s="56">
        <f>INDEX($AG$13:$AH$16,MATCH(N10,$AG$13:$AG$16,0),2)</f>
        <v>0</v>
      </c>
      <c r="P10" s="50">
        <f t="shared" si="0"/>
        <v>0</v>
      </c>
      <c r="Q10" s="55" t="s">
        <v>74</v>
      </c>
      <c r="R10" s="71">
        <f>INDEX($AG$13:$AH$16,MATCH(Q10,$AG$13:$AG$16,0),2)</f>
        <v>0</v>
      </c>
      <c r="S10" s="95">
        <f t="shared" si="1"/>
        <v>0</v>
      </c>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row>
    <row r="11" spans="1:58" s="110" customFormat="1" ht="36" customHeight="1">
      <c r="A11" s="68"/>
      <c r="B11" s="98" t="s">
        <v>79</v>
      </c>
      <c r="C11" s="99"/>
      <c r="D11" s="100"/>
      <c r="E11" s="101"/>
      <c r="F11" s="102"/>
      <c r="G11" s="103">
        <f>SUM(G7:G10)</f>
        <v>15</v>
      </c>
      <c r="H11" s="104"/>
      <c r="I11" s="105"/>
      <c r="J11" s="103">
        <f>SUM(J7:J10)</f>
        <v>18</v>
      </c>
      <c r="K11" s="104"/>
      <c r="L11" s="105"/>
      <c r="M11" s="103">
        <f>SUM(M7:M10)</f>
        <v>24</v>
      </c>
      <c r="N11" s="104"/>
      <c r="O11" s="105"/>
      <c r="P11" s="103">
        <f>SUM(P7:P10)</f>
        <v>12</v>
      </c>
      <c r="Q11" s="106"/>
      <c r="R11" s="107"/>
      <c r="S11" s="108">
        <f>SUM(S7:S10)</f>
        <v>9</v>
      </c>
      <c r="T11" s="109"/>
      <c r="U11" s="109"/>
      <c r="V11" s="109"/>
      <c r="W11" s="109"/>
      <c r="X11" s="109"/>
      <c r="Y11" s="109"/>
      <c r="Z11" s="109"/>
      <c r="AA11" s="109"/>
      <c r="AB11" s="109"/>
      <c r="AC11" s="109"/>
      <c r="AD11" s="109"/>
      <c r="AE11" s="109"/>
      <c r="AF11" s="109"/>
      <c r="AG11" s="109"/>
      <c r="AH11" s="109"/>
      <c r="AI11" s="109"/>
      <c r="AJ11" s="109"/>
      <c r="AK11" s="109"/>
      <c r="AL11" s="109"/>
      <c r="AM11" s="109"/>
      <c r="AN11" s="109"/>
      <c r="AO11" s="109"/>
      <c r="AP11" s="109"/>
      <c r="AQ11" s="109"/>
      <c r="AR11" s="109"/>
      <c r="AS11" s="109"/>
      <c r="AT11" s="109"/>
      <c r="AU11" s="109"/>
      <c r="AV11" s="109"/>
      <c r="AW11" s="109"/>
      <c r="AX11" s="109"/>
      <c r="AY11" s="109"/>
      <c r="AZ11" s="109"/>
      <c r="BA11" s="109"/>
      <c r="BB11" s="109"/>
      <c r="BC11" s="109"/>
      <c r="BD11" s="109"/>
      <c r="BE11" s="109"/>
      <c r="BF11" s="109"/>
    </row>
    <row r="12" spans="1:58" s="110" customFormat="1" ht="43.5" customHeight="1">
      <c r="A12" s="113"/>
      <c r="B12" s="114" t="s">
        <v>80</v>
      </c>
      <c r="C12" s="115"/>
      <c r="D12" s="116"/>
      <c r="E12" s="117"/>
      <c r="F12" s="118"/>
      <c r="G12" s="119">
        <f>G11/24</f>
        <v>0.625</v>
      </c>
      <c r="H12" s="120"/>
      <c r="I12" s="121"/>
      <c r="J12" s="119">
        <f>J11/24</f>
        <v>0.75</v>
      </c>
      <c r="K12" s="120"/>
      <c r="L12" s="121"/>
      <c r="M12" s="119">
        <f>M11/24</f>
        <v>1</v>
      </c>
      <c r="N12" s="120"/>
      <c r="O12" s="121"/>
      <c r="P12" s="119">
        <f>P11/24</f>
        <v>0.5</v>
      </c>
      <c r="Q12" s="122"/>
      <c r="R12" s="123"/>
      <c r="S12" s="124">
        <f>S11/24</f>
        <v>0.375</v>
      </c>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row>
    <row r="13" spans="1:58" s="60" customFormat="1" ht="43.5" customHeight="1">
      <c r="A13" s="142" t="s">
        <v>81</v>
      </c>
      <c r="B13" s="78" t="s">
        <v>82</v>
      </c>
      <c r="C13" s="79" t="s">
        <v>83</v>
      </c>
      <c r="D13" s="80">
        <v>1</v>
      </c>
      <c r="E13" s="81" t="s">
        <v>67</v>
      </c>
      <c r="F13" s="82">
        <f t="shared" ref="F13:F25" si="4">INDEX($AG$13:$AH$16,MATCH(E13,$AG$13:$AG$16,0),2)</f>
        <v>2</v>
      </c>
      <c r="G13" s="83">
        <f t="shared" ref="G13:G25" si="5">D13*F13</f>
        <v>2</v>
      </c>
      <c r="H13" s="84" t="s">
        <v>68</v>
      </c>
      <c r="I13" s="82">
        <f t="shared" ref="I13:I25" si="6">INDEX($AG$13:$AH$16,MATCH(H13,$AG$13:$AG$16,0),2)</f>
        <v>1</v>
      </c>
      <c r="J13" s="83">
        <f t="shared" si="2"/>
        <v>1</v>
      </c>
      <c r="K13" s="84" t="s">
        <v>67</v>
      </c>
      <c r="L13" s="82">
        <f t="shared" ref="L13:L25" si="7">INDEX($AG$13:$AH$16,MATCH(K13,$AG$13:$AG$16,0),2)</f>
        <v>2</v>
      </c>
      <c r="M13" s="83">
        <f t="shared" si="3"/>
        <v>2</v>
      </c>
      <c r="N13" s="84" t="s">
        <v>67</v>
      </c>
      <c r="O13" s="82">
        <f t="shared" ref="O13:O25" si="8">INDEX($AG$13:$AH$16,MATCH(N13,$AG$13:$AG$16,0),2)</f>
        <v>2</v>
      </c>
      <c r="P13" s="83">
        <f t="shared" si="0"/>
        <v>2</v>
      </c>
      <c r="Q13" s="84" t="s">
        <v>74</v>
      </c>
      <c r="R13" s="96">
        <f t="shared" ref="R13:R25" si="9">INDEX($AG$13:$AH$16,MATCH(Q13,$AG$13:$AG$16,0),2)</f>
        <v>0</v>
      </c>
      <c r="S13" s="97">
        <f t="shared" si="1"/>
        <v>0</v>
      </c>
      <c r="T13" s="74"/>
      <c r="U13" s="74"/>
      <c r="V13" s="74"/>
      <c r="W13" s="74"/>
      <c r="X13" s="74"/>
      <c r="Y13" s="74"/>
      <c r="Z13" s="74"/>
      <c r="AA13" s="74"/>
      <c r="AB13" s="74"/>
      <c r="AC13" s="74"/>
      <c r="AD13" s="74"/>
      <c r="AE13" s="74"/>
      <c r="AF13" s="74"/>
      <c r="AG13" s="76" t="s">
        <v>67</v>
      </c>
      <c r="AH13" s="76">
        <v>2</v>
      </c>
      <c r="AI13" s="74"/>
      <c r="AJ13" s="74"/>
      <c r="AK13" s="74"/>
      <c r="AL13" s="74"/>
      <c r="AM13" s="74"/>
      <c r="AN13" s="74"/>
      <c r="AO13" s="74"/>
      <c r="AP13" s="74"/>
      <c r="AQ13" s="74"/>
      <c r="AR13" s="74"/>
      <c r="AS13" s="74"/>
      <c r="AT13" s="74"/>
      <c r="AU13" s="74"/>
      <c r="AV13" s="74"/>
      <c r="AW13" s="74"/>
      <c r="AX13" s="74"/>
      <c r="AY13" s="74"/>
      <c r="AZ13" s="74"/>
      <c r="BA13" s="74"/>
      <c r="BB13" s="74"/>
      <c r="BC13" s="74"/>
      <c r="BD13" s="74"/>
      <c r="BE13" s="74"/>
      <c r="BF13" s="74"/>
    </row>
    <row r="14" spans="1:58" s="45" customFormat="1" ht="32.25" customHeight="1">
      <c r="A14" s="143"/>
      <c r="B14" s="78" t="s">
        <v>84</v>
      </c>
      <c r="C14" s="79" t="s">
        <v>85</v>
      </c>
      <c r="D14" s="80">
        <v>2</v>
      </c>
      <c r="E14" s="81" t="s">
        <v>67</v>
      </c>
      <c r="F14" s="82">
        <f t="shared" si="4"/>
        <v>2</v>
      </c>
      <c r="G14" s="83">
        <f t="shared" si="5"/>
        <v>4</v>
      </c>
      <c r="H14" s="84" t="s">
        <v>67</v>
      </c>
      <c r="I14" s="82">
        <f t="shared" si="6"/>
        <v>2</v>
      </c>
      <c r="J14" s="83">
        <f t="shared" si="2"/>
        <v>4</v>
      </c>
      <c r="K14" s="84" t="s">
        <v>67</v>
      </c>
      <c r="L14" s="82">
        <f t="shared" si="7"/>
        <v>2</v>
      </c>
      <c r="M14" s="83">
        <f t="shared" si="3"/>
        <v>4</v>
      </c>
      <c r="N14" s="84" t="s">
        <v>74</v>
      </c>
      <c r="O14" s="82">
        <f t="shared" si="8"/>
        <v>0</v>
      </c>
      <c r="P14" s="83">
        <f t="shared" si="0"/>
        <v>0</v>
      </c>
      <c r="Q14" s="84" t="s">
        <v>67</v>
      </c>
      <c r="R14" s="85">
        <f t="shared" si="9"/>
        <v>2</v>
      </c>
      <c r="S14" s="86">
        <f t="shared" si="1"/>
        <v>4</v>
      </c>
      <c r="T14" s="74"/>
      <c r="U14" s="74"/>
      <c r="V14" s="74"/>
      <c r="W14" s="74"/>
      <c r="X14" s="74"/>
      <c r="Y14" s="74"/>
      <c r="Z14" s="74"/>
      <c r="AA14" s="74"/>
      <c r="AB14" s="74"/>
      <c r="AC14" s="74"/>
      <c r="AD14" s="74"/>
      <c r="AE14" s="74"/>
      <c r="AF14" s="74"/>
      <c r="AG14" s="76" t="s">
        <v>68</v>
      </c>
      <c r="AH14" s="76">
        <v>1</v>
      </c>
      <c r="AI14" s="74"/>
      <c r="AJ14" s="74"/>
      <c r="AK14" s="74"/>
      <c r="AL14" s="74"/>
      <c r="AM14" s="74"/>
      <c r="AN14" s="74"/>
      <c r="AO14" s="74"/>
      <c r="AP14" s="74"/>
      <c r="AQ14" s="74"/>
      <c r="AR14" s="74"/>
      <c r="AS14" s="74"/>
      <c r="AT14" s="74"/>
      <c r="AU14" s="74"/>
      <c r="AV14" s="74"/>
      <c r="AW14" s="74"/>
      <c r="AX14" s="74"/>
      <c r="AY14" s="74"/>
      <c r="AZ14" s="74"/>
      <c r="BA14" s="74"/>
      <c r="BB14" s="74"/>
      <c r="BC14" s="74"/>
      <c r="BD14" s="74"/>
      <c r="BE14" s="74"/>
      <c r="BF14" s="74"/>
    </row>
    <row r="15" spans="1:58" s="60" customFormat="1" ht="40.5" customHeight="1">
      <c r="A15" s="143"/>
      <c r="B15" s="78" t="s">
        <v>86</v>
      </c>
      <c r="C15" s="79" t="s">
        <v>87</v>
      </c>
      <c r="D15" s="80">
        <v>1</v>
      </c>
      <c r="E15" s="81" t="s">
        <v>67</v>
      </c>
      <c r="F15" s="82">
        <f t="shared" si="4"/>
        <v>2</v>
      </c>
      <c r="G15" s="83">
        <f t="shared" si="5"/>
        <v>2</v>
      </c>
      <c r="H15" s="84" t="s">
        <v>68</v>
      </c>
      <c r="I15" s="82">
        <f t="shared" si="6"/>
        <v>1</v>
      </c>
      <c r="J15" s="83">
        <f t="shared" si="2"/>
        <v>1</v>
      </c>
      <c r="K15" s="84" t="s">
        <v>67</v>
      </c>
      <c r="L15" s="82">
        <f t="shared" si="7"/>
        <v>2</v>
      </c>
      <c r="M15" s="83">
        <f t="shared" si="3"/>
        <v>2</v>
      </c>
      <c r="N15" s="84" t="s">
        <v>67</v>
      </c>
      <c r="O15" s="82">
        <f t="shared" si="8"/>
        <v>2</v>
      </c>
      <c r="P15" s="83">
        <f t="shared" si="0"/>
        <v>2</v>
      </c>
      <c r="Q15" s="84" t="s">
        <v>67</v>
      </c>
      <c r="R15" s="85">
        <f t="shared" si="9"/>
        <v>2</v>
      </c>
      <c r="S15" s="86">
        <f t="shared" si="1"/>
        <v>2</v>
      </c>
      <c r="T15" s="74"/>
      <c r="U15" s="74"/>
      <c r="V15" s="74"/>
      <c r="W15" s="74"/>
      <c r="X15" s="74"/>
      <c r="Y15" s="74"/>
      <c r="Z15" s="74"/>
      <c r="AA15" s="74"/>
      <c r="AB15" s="74"/>
      <c r="AC15" s="74"/>
      <c r="AD15" s="74"/>
      <c r="AE15" s="74"/>
      <c r="AF15" s="74"/>
      <c r="AG15" s="76" t="s">
        <v>74</v>
      </c>
      <c r="AH15" s="76">
        <v>0</v>
      </c>
      <c r="AI15" s="74"/>
      <c r="AJ15" s="74"/>
      <c r="AK15" s="74"/>
      <c r="AL15" s="74"/>
      <c r="AM15" s="74"/>
      <c r="AN15" s="74"/>
      <c r="AO15" s="74"/>
      <c r="AP15" s="74"/>
      <c r="AQ15" s="74"/>
      <c r="AR15" s="74"/>
      <c r="AS15" s="74"/>
      <c r="AT15" s="74"/>
      <c r="AU15" s="74"/>
      <c r="AV15" s="74"/>
      <c r="AW15" s="74"/>
      <c r="AX15" s="74"/>
      <c r="AY15" s="74"/>
      <c r="AZ15" s="74"/>
      <c r="BA15" s="74"/>
      <c r="BB15" s="74"/>
      <c r="BC15" s="74"/>
      <c r="BD15" s="74"/>
      <c r="BE15" s="74"/>
      <c r="BF15" s="74"/>
    </row>
    <row r="16" spans="1:58" s="60" customFormat="1" ht="58.5" customHeight="1">
      <c r="A16" s="143"/>
      <c r="B16" s="78" t="s">
        <v>88</v>
      </c>
      <c r="C16" s="79" t="s">
        <v>89</v>
      </c>
      <c r="D16" s="80">
        <v>1</v>
      </c>
      <c r="E16" s="81" t="s">
        <v>67</v>
      </c>
      <c r="F16" s="82">
        <f t="shared" si="4"/>
        <v>2</v>
      </c>
      <c r="G16" s="83">
        <f t="shared" si="5"/>
        <v>2</v>
      </c>
      <c r="H16" s="84" t="s">
        <v>68</v>
      </c>
      <c r="I16" s="82">
        <f t="shared" si="6"/>
        <v>1</v>
      </c>
      <c r="J16" s="83">
        <f t="shared" si="2"/>
        <v>1</v>
      </c>
      <c r="K16" s="84" t="s">
        <v>67</v>
      </c>
      <c r="L16" s="82">
        <f t="shared" si="7"/>
        <v>2</v>
      </c>
      <c r="M16" s="83">
        <f t="shared" si="3"/>
        <v>2</v>
      </c>
      <c r="N16" s="84" t="s">
        <v>68</v>
      </c>
      <c r="O16" s="82">
        <f t="shared" si="8"/>
        <v>1</v>
      </c>
      <c r="P16" s="83">
        <f t="shared" si="0"/>
        <v>1</v>
      </c>
      <c r="Q16" s="84" t="s">
        <v>67</v>
      </c>
      <c r="R16" s="85">
        <f t="shared" si="9"/>
        <v>2</v>
      </c>
      <c r="S16" s="86">
        <f t="shared" si="1"/>
        <v>2</v>
      </c>
      <c r="T16" s="74"/>
      <c r="U16" s="74"/>
      <c r="V16" s="74"/>
      <c r="W16" s="74"/>
      <c r="X16" s="74"/>
      <c r="Y16" s="74"/>
      <c r="Z16" s="74"/>
      <c r="AA16" s="74"/>
      <c r="AB16" s="74"/>
      <c r="AC16" s="74"/>
      <c r="AD16" s="74"/>
      <c r="AE16" s="74"/>
      <c r="AF16" s="74"/>
      <c r="AG16" s="76"/>
      <c r="AH16" s="76"/>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row>
    <row r="17" spans="1:58" s="45" customFormat="1" ht="58.5" customHeight="1">
      <c r="A17" s="144"/>
      <c r="B17" s="78" t="s">
        <v>90</v>
      </c>
      <c r="C17" s="79" t="s">
        <v>91</v>
      </c>
      <c r="D17" s="80">
        <v>2</v>
      </c>
      <c r="E17" s="81" t="s">
        <v>67</v>
      </c>
      <c r="F17" s="82">
        <f t="shared" si="4"/>
        <v>2</v>
      </c>
      <c r="G17" s="83">
        <f t="shared" si="5"/>
        <v>4</v>
      </c>
      <c r="H17" s="84" t="s">
        <v>67</v>
      </c>
      <c r="I17" s="82">
        <f t="shared" si="6"/>
        <v>2</v>
      </c>
      <c r="J17" s="83">
        <f t="shared" si="2"/>
        <v>4</v>
      </c>
      <c r="K17" s="84" t="s">
        <v>67</v>
      </c>
      <c r="L17" s="82">
        <f t="shared" si="7"/>
        <v>2</v>
      </c>
      <c r="M17" s="83">
        <f t="shared" si="3"/>
        <v>4</v>
      </c>
      <c r="N17" s="84" t="s">
        <v>68</v>
      </c>
      <c r="O17" s="82">
        <f t="shared" si="8"/>
        <v>1</v>
      </c>
      <c r="P17" s="83">
        <f t="shared" si="0"/>
        <v>2</v>
      </c>
      <c r="Q17" s="84" t="s">
        <v>68</v>
      </c>
      <c r="R17" s="85">
        <f t="shared" si="9"/>
        <v>1</v>
      </c>
      <c r="S17" s="86">
        <f t="shared" si="1"/>
        <v>2</v>
      </c>
      <c r="T17" s="74"/>
      <c r="U17" s="74"/>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row>
    <row r="18" spans="1:58" s="45" customFormat="1" ht="44.25" customHeight="1">
      <c r="A18" s="145" t="s">
        <v>92</v>
      </c>
      <c r="B18" s="78" t="s">
        <v>93</v>
      </c>
      <c r="C18" s="79" t="s">
        <v>94</v>
      </c>
      <c r="D18" s="80">
        <v>2</v>
      </c>
      <c r="E18" s="81" t="s">
        <v>67</v>
      </c>
      <c r="F18" s="82">
        <f t="shared" si="4"/>
        <v>2</v>
      </c>
      <c r="G18" s="83">
        <f t="shared" si="5"/>
        <v>4</v>
      </c>
      <c r="H18" s="84" t="s">
        <v>67</v>
      </c>
      <c r="I18" s="82">
        <f t="shared" si="6"/>
        <v>2</v>
      </c>
      <c r="J18" s="83">
        <f t="shared" si="2"/>
        <v>4</v>
      </c>
      <c r="K18" s="84" t="s">
        <v>67</v>
      </c>
      <c r="L18" s="82">
        <f t="shared" si="7"/>
        <v>2</v>
      </c>
      <c r="M18" s="83">
        <f t="shared" si="3"/>
        <v>4</v>
      </c>
      <c r="N18" s="84" t="s">
        <v>74</v>
      </c>
      <c r="O18" s="82">
        <f t="shared" si="8"/>
        <v>0</v>
      </c>
      <c r="P18" s="83">
        <f t="shared" si="0"/>
        <v>0</v>
      </c>
      <c r="Q18" s="84" t="s">
        <v>74</v>
      </c>
      <c r="R18" s="85">
        <f t="shared" si="9"/>
        <v>0</v>
      </c>
      <c r="S18" s="86">
        <f t="shared" si="1"/>
        <v>0</v>
      </c>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row>
    <row r="19" spans="1:58" s="45" customFormat="1" ht="53.25" customHeight="1">
      <c r="A19" s="146"/>
      <c r="B19" s="78" t="s">
        <v>95</v>
      </c>
      <c r="C19" s="79" t="s">
        <v>96</v>
      </c>
      <c r="D19" s="80">
        <v>2</v>
      </c>
      <c r="E19" s="81" t="s">
        <v>67</v>
      </c>
      <c r="F19" s="82">
        <f t="shared" si="4"/>
        <v>2</v>
      </c>
      <c r="G19" s="83">
        <f t="shared" si="5"/>
        <v>4</v>
      </c>
      <c r="H19" s="84" t="s">
        <v>68</v>
      </c>
      <c r="I19" s="82">
        <f t="shared" si="6"/>
        <v>1</v>
      </c>
      <c r="J19" s="83">
        <f t="shared" si="2"/>
        <v>2</v>
      </c>
      <c r="K19" s="84" t="s">
        <v>67</v>
      </c>
      <c r="L19" s="82">
        <f t="shared" si="7"/>
        <v>2</v>
      </c>
      <c r="M19" s="83">
        <f t="shared" si="3"/>
        <v>4</v>
      </c>
      <c r="N19" s="84" t="s">
        <v>74</v>
      </c>
      <c r="O19" s="82">
        <f t="shared" si="8"/>
        <v>0</v>
      </c>
      <c r="P19" s="83">
        <f t="shared" si="0"/>
        <v>0</v>
      </c>
      <c r="Q19" s="84" t="s">
        <v>74</v>
      </c>
      <c r="R19" s="85">
        <f t="shared" si="9"/>
        <v>0</v>
      </c>
      <c r="S19" s="86">
        <f t="shared" si="1"/>
        <v>0</v>
      </c>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row>
    <row r="20" spans="1:58" s="60" customFormat="1" ht="56.25" customHeight="1">
      <c r="A20" s="145" t="s">
        <v>34</v>
      </c>
      <c r="B20" s="89" t="s">
        <v>97</v>
      </c>
      <c r="C20" s="79" t="s">
        <v>98</v>
      </c>
      <c r="D20" s="80">
        <v>1</v>
      </c>
      <c r="E20" s="81" t="s">
        <v>67</v>
      </c>
      <c r="F20" s="82">
        <f t="shared" si="4"/>
        <v>2</v>
      </c>
      <c r="G20" s="83">
        <f t="shared" si="5"/>
        <v>2</v>
      </c>
      <c r="H20" s="84" t="s">
        <v>74</v>
      </c>
      <c r="I20" s="82">
        <f t="shared" si="6"/>
        <v>0</v>
      </c>
      <c r="J20" s="83">
        <f t="shared" si="2"/>
        <v>0</v>
      </c>
      <c r="K20" s="84" t="s">
        <v>67</v>
      </c>
      <c r="L20" s="82">
        <f t="shared" si="7"/>
        <v>2</v>
      </c>
      <c r="M20" s="83">
        <f t="shared" si="3"/>
        <v>2</v>
      </c>
      <c r="N20" s="84" t="s">
        <v>68</v>
      </c>
      <c r="O20" s="82">
        <f t="shared" si="8"/>
        <v>1</v>
      </c>
      <c r="P20" s="83">
        <f t="shared" si="0"/>
        <v>1</v>
      </c>
      <c r="Q20" s="84" t="s">
        <v>67</v>
      </c>
      <c r="R20" s="85">
        <f t="shared" si="9"/>
        <v>2</v>
      </c>
      <c r="S20" s="86">
        <f t="shared" si="1"/>
        <v>2</v>
      </c>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row>
    <row r="21" spans="1:58" s="60" customFormat="1" ht="40.5" customHeight="1">
      <c r="A21" s="147"/>
      <c r="B21" s="78" t="s">
        <v>99</v>
      </c>
      <c r="C21" s="79" t="s">
        <v>100</v>
      </c>
      <c r="D21" s="80">
        <v>1</v>
      </c>
      <c r="E21" s="81" t="s">
        <v>67</v>
      </c>
      <c r="F21" s="82">
        <f t="shared" si="4"/>
        <v>2</v>
      </c>
      <c r="G21" s="83">
        <f t="shared" si="5"/>
        <v>2</v>
      </c>
      <c r="H21" s="84" t="s">
        <v>68</v>
      </c>
      <c r="I21" s="82">
        <f t="shared" si="6"/>
        <v>1</v>
      </c>
      <c r="J21" s="83">
        <f t="shared" si="2"/>
        <v>1</v>
      </c>
      <c r="K21" s="84" t="s">
        <v>67</v>
      </c>
      <c r="L21" s="82">
        <f t="shared" si="7"/>
        <v>2</v>
      </c>
      <c r="M21" s="83">
        <f t="shared" si="3"/>
        <v>2</v>
      </c>
      <c r="N21" s="84" t="s">
        <v>68</v>
      </c>
      <c r="O21" s="82">
        <f t="shared" si="8"/>
        <v>1</v>
      </c>
      <c r="P21" s="83">
        <f t="shared" si="0"/>
        <v>1</v>
      </c>
      <c r="Q21" s="84" t="s">
        <v>67</v>
      </c>
      <c r="R21" s="85">
        <f t="shared" si="9"/>
        <v>2</v>
      </c>
      <c r="S21" s="86">
        <f t="shared" si="1"/>
        <v>2</v>
      </c>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row>
    <row r="22" spans="1:58" s="45" customFormat="1" ht="52.5" customHeight="1">
      <c r="A22" s="146"/>
      <c r="B22" s="78" t="s">
        <v>101</v>
      </c>
      <c r="C22" s="87" t="s">
        <v>102</v>
      </c>
      <c r="D22" s="80">
        <v>2</v>
      </c>
      <c r="E22" s="81" t="s">
        <v>67</v>
      </c>
      <c r="F22" s="82">
        <f t="shared" si="4"/>
        <v>2</v>
      </c>
      <c r="G22" s="83">
        <f t="shared" si="5"/>
        <v>4</v>
      </c>
      <c r="H22" s="84" t="s">
        <v>74</v>
      </c>
      <c r="I22" s="82">
        <f t="shared" si="6"/>
        <v>0</v>
      </c>
      <c r="J22" s="83">
        <f t="shared" si="2"/>
        <v>0</v>
      </c>
      <c r="K22" s="84" t="s">
        <v>67</v>
      </c>
      <c r="L22" s="82">
        <f t="shared" si="7"/>
        <v>2</v>
      </c>
      <c r="M22" s="83">
        <f t="shared" si="3"/>
        <v>4</v>
      </c>
      <c r="N22" s="84" t="s">
        <v>68</v>
      </c>
      <c r="O22" s="82">
        <f t="shared" si="8"/>
        <v>1</v>
      </c>
      <c r="P22" s="83">
        <f t="shared" si="0"/>
        <v>2</v>
      </c>
      <c r="Q22" s="84" t="s">
        <v>74</v>
      </c>
      <c r="R22" s="85">
        <f t="shared" si="9"/>
        <v>0</v>
      </c>
      <c r="S22" s="86">
        <f t="shared" si="1"/>
        <v>0</v>
      </c>
      <c r="T22" s="74"/>
      <c r="U22" s="74"/>
      <c r="V22" s="74"/>
      <c r="W22" s="74"/>
      <c r="X22" s="74"/>
      <c r="Y22" s="74"/>
      <c r="Z22" s="74"/>
      <c r="AA22" s="74"/>
      <c r="AB22" s="74"/>
      <c r="AC22" s="74"/>
      <c r="AD22" s="74"/>
      <c r="AE22" s="74"/>
      <c r="AF22" s="74"/>
      <c r="AG22" s="74"/>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row>
    <row r="23" spans="1:58" s="60" customFormat="1" ht="51.75" customHeight="1">
      <c r="A23" s="148" t="s">
        <v>103</v>
      </c>
      <c r="B23" s="78" t="s">
        <v>104</v>
      </c>
      <c r="C23" s="79" t="s">
        <v>105</v>
      </c>
      <c r="D23" s="80">
        <v>1</v>
      </c>
      <c r="E23" s="81" t="s">
        <v>67</v>
      </c>
      <c r="F23" s="82">
        <f t="shared" si="4"/>
        <v>2</v>
      </c>
      <c r="G23" s="83">
        <f t="shared" si="5"/>
        <v>2</v>
      </c>
      <c r="H23" s="84" t="s">
        <v>67</v>
      </c>
      <c r="I23" s="82">
        <f t="shared" si="6"/>
        <v>2</v>
      </c>
      <c r="J23" s="83">
        <f t="shared" si="2"/>
        <v>2</v>
      </c>
      <c r="K23" s="84" t="s">
        <v>67</v>
      </c>
      <c r="L23" s="82">
        <f t="shared" si="7"/>
        <v>2</v>
      </c>
      <c r="M23" s="83">
        <f t="shared" si="3"/>
        <v>2</v>
      </c>
      <c r="N23" s="84" t="s">
        <v>68</v>
      </c>
      <c r="O23" s="82">
        <f t="shared" si="8"/>
        <v>1</v>
      </c>
      <c r="P23" s="83">
        <f t="shared" si="0"/>
        <v>1</v>
      </c>
      <c r="Q23" s="84" t="s">
        <v>68</v>
      </c>
      <c r="R23" s="85">
        <f t="shared" si="9"/>
        <v>1</v>
      </c>
      <c r="S23" s="86">
        <f t="shared" si="1"/>
        <v>1</v>
      </c>
      <c r="T23" s="74"/>
      <c r="U23" s="74"/>
      <c r="V23" s="74"/>
      <c r="W23" s="74"/>
      <c r="X23" s="74"/>
      <c r="Y23" s="74"/>
      <c r="Z23" s="74"/>
      <c r="AA23" s="74"/>
      <c r="AB23" s="74"/>
      <c r="AC23" s="74"/>
      <c r="AD23" s="74"/>
      <c r="AE23" s="74"/>
      <c r="AF23" s="74"/>
      <c r="AG23" s="74"/>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row>
    <row r="24" spans="1:58" s="60" customFormat="1" ht="51.75" customHeight="1">
      <c r="A24" s="149"/>
      <c r="B24" s="78" t="s">
        <v>106</v>
      </c>
      <c r="C24" s="87" t="s">
        <v>107</v>
      </c>
      <c r="D24" s="80">
        <v>1</v>
      </c>
      <c r="E24" s="81" t="s">
        <v>67</v>
      </c>
      <c r="F24" s="82">
        <f t="shared" si="4"/>
        <v>2</v>
      </c>
      <c r="G24" s="83">
        <f t="shared" si="5"/>
        <v>2</v>
      </c>
      <c r="H24" s="84" t="s">
        <v>67</v>
      </c>
      <c r="I24" s="82">
        <f t="shared" si="6"/>
        <v>2</v>
      </c>
      <c r="J24" s="83">
        <f t="shared" si="2"/>
        <v>2</v>
      </c>
      <c r="K24" s="84" t="s">
        <v>67</v>
      </c>
      <c r="L24" s="82">
        <f t="shared" si="7"/>
        <v>2</v>
      </c>
      <c r="M24" s="83">
        <f t="shared" si="3"/>
        <v>2</v>
      </c>
      <c r="N24" s="84" t="s">
        <v>74</v>
      </c>
      <c r="O24" s="82">
        <f t="shared" si="8"/>
        <v>0</v>
      </c>
      <c r="P24" s="83">
        <f t="shared" si="0"/>
        <v>0</v>
      </c>
      <c r="Q24" s="84" t="s">
        <v>68</v>
      </c>
      <c r="R24" s="85">
        <f t="shared" si="9"/>
        <v>1</v>
      </c>
      <c r="S24" s="86">
        <f t="shared" si="1"/>
        <v>1</v>
      </c>
      <c r="T24" s="74"/>
      <c r="U24" s="74"/>
      <c r="V24" s="74"/>
      <c r="W24" s="74"/>
      <c r="X24" s="74"/>
      <c r="Y24" s="74"/>
      <c r="Z24" s="74"/>
      <c r="AA24" s="74"/>
      <c r="AB24" s="74"/>
      <c r="AC24" s="74"/>
      <c r="AD24" s="74"/>
      <c r="AE24" s="74"/>
      <c r="AF24" s="74"/>
      <c r="AG24" s="74"/>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row>
    <row r="25" spans="1:58" s="60" customFormat="1" ht="72.5">
      <c r="A25" s="150"/>
      <c r="B25" s="88" t="s">
        <v>108</v>
      </c>
      <c r="C25" s="87" t="s">
        <v>109</v>
      </c>
      <c r="D25" s="80">
        <v>1</v>
      </c>
      <c r="E25" s="81" t="s">
        <v>67</v>
      </c>
      <c r="F25" s="82">
        <f t="shared" si="4"/>
        <v>2</v>
      </c>
      <c r="G25" s="93">
        <f t="shared" si="5"/>
        <v>2</v>
      </c>
      <c r="H25" s="84" t="s">
        <v>68</v>
      </c>
      <c r="I25" s="82">
        <f t="shared" si="6"/>
        <v>1</v>
      </c>
      <c r="J25" s="93">
        <f t="shared" si="2"/>
        <v>1</v>
      </c>
      <c r="K25" s="84" t="s">
        <v>67</v>
      </c>
      <c r="L25" s="82">
        <f t="shared" si="7"/>
        <v>2</v>
      </c>
      <c r="M25" s="93">
        <f t="shared" si="3"/>
        <v>2</v>
      </c>
      <c r="N25" s="84" t="s">
        <v>68</v>
      </c>
      <c r="O25" s="82">
        <f t="shared" si="8"/>
        <v>1</v>
      </c>
      <c r="P25" s="93">
        <f t="shared" si="0"/>
        <v>1</v>
      </c>
      <c r="Q25" s="84" t="s">
        <v>68</v>
      </c>
      <c r="R25" s="85">
        <f t="shared" si="9"/>
        <v>1</v>
      </c>
      <c r="S25" s="94">
        <f t="shared" si="1"/>
        <v>1</v>
      </c>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row>
    <row r="26" spans="1:58" ht="14.5">
      <c r="A26" s="141" t="s">
        <v>110</v>
      </c>
      <c r="B26" s="141"/>
      <c r="C26" s="141"/>
      <c r="D26" s="44"/>
      <c r="E26" s="42"/>
      <c r="F26" s="92"/>
      <c r="G26" s="91">
        <f>SUM(G13:G25)</f>
        <v>36</v>
      </c>
      <c r="H26" s="90"/>
      <c r="I26" s="90"/>
      <c r="J26" s="91">
        <f>SUM(J13:J25)</f>
        <v>23</v>
      </c>
      <c r="K26" s="165"/>
      <c r="L26" s="165"/>
      <c r="M26" s="91">
        <f>SUM(M13:M25)</f>
        <v>36</v>
      </c>
      <c r="N26" s="165"/>
      <c r="O26" s="165"/>
      <c r="P26" s="91">
        <f>SUM(P13:P25)</f>
        <v>13</v>
      </c>
      <c r="Q26" s="165"/>
      <c r="R26" s="165"/>
      <c r="S26" s="91">
        <f>SUM(S13:S25)</f>
        <v>17</v>
      </c>
      <c r="T26" s="164"/>
      <c r="U26" s="164"/>
      <c r="V26" s="164"/>
      <c r="W26" s="164"/>
    </row>
    <row r="27" spans="1:58" ht="38.25" customHeight="1">
      <c r="A27" s="125"/>
      <c r="B27" s="126" t="s">
        <v>111</v>
      </c>
      <c r="C27" s="127"/>
      <c r="D27" s="128"/>
      <c r="E27" s="168">
        <f>G26/36</f>
        <v>1</v>
      </c>
      <c r="F27" s="169"/>
      <c r="G27" s="170"/>
      <c r="H27" s="168">
        <f>J26/36</f>
        <v>0.63888888888888884</v>
      </c>
      <c r="I27" s="169"/>
      <c r="J27" s="170"/>
      <c r="K27" s="168">
        <f>M26/36</f>
        <v>1</v>
      </c>
      <c r="L27" s="169"/>
      <c r="M27" s="170"/>
      <c r="N27" s="168">
        <f>P26/36</f>
        <v>0.3611111111111111</v>
      </c>
      <c r="O27" s="169"/>
      <c r="P27" s="170"/>
      <c r="Q27" s="168">
        <f>S26/36</f>
        <v>0.47222222222222221</v>
      </c>
      <c r="R27" s="169"/>
      <c r="S27" s="170"/>
    </row>
    <row r="29" spans="1:58" ht="15" customHeight="1">
      <c r="E29" s="29"/>
    </row>
    <row r="30" spans="1:58" ht="15" customHeight="1">
      <c r="A30" s="1" t="s">
        <v>112</v>
      </c>
    </row>
    <row r="31" spans="1:58" ht="15" customHeight="1">
      <c r="A31" s="1" t="s">
        <v>113</v>
      </c>
      <c r="B31">
        <v>24</v>
      </c>
    </row>
    <row r="32" spans="1:58" ht="15" customHeight="1">
      <c r="A32" s="1" t="s">
        <v>110</v>
      </c>
      <c r="B32" t="s">
        <v>114</v>
      </c>
    </row>
    <row r="35" spans="1:4" ht="15" customHeight="1">
      <c r="A35" s="1" t="s">
        <v>115</v>
      </c>
      <c r="B35" s="1" t="s">
        <v>116</v>
      </c>
    </row>
    <row r="36" spans="1:4" ht="15" customHeight="1">
      <c r="A36" s="1" t="s">
        <v>113</v>
      </c>
      <c r="B36">
        <v>36</v>
      </c>
    </row>
    <row r="37" spans="1:4" ht="31.5" customHeight="1">
      <c r="A37" s="1" t="s">
        <v>110</v>
      </c>
      <c r="B37" s="111" t="s">
        <v>117</v>
      </c>
    </row>
    <row r="39" spans="1:4" ht="15" customHeight="1">
      <c r="A39" s="112"/>
      <c r="D39"/>
    </row>
    <row r="40" spans="1:4" ht="15" customHeight="1">
      <c r="A40"/>
      <c r="B40" s="1"/>
      <c r="D40"/>
    </row>
    <row r="41" spans="1:4" ht="15" customHeight="1">
      <c r="A41" s="166" t="s">
        <v>118</v>
      </c>
      <c r="B41" s="167"/>
      <c r="C41" s="167"/>
      <c r="D41" s="167"/>
    </row>
    <row r="42" spans="1:4" ht="15" customHeight="1">
      <c r="A42" s="167"/>
      <c r="B42" s="167"/>
      <c r="C42" s="167"/>
      <c r="D42" s="167"/>
    </row>
    <row r="43" spans="1:4" ht="15" customHeight="1">
      <c r="A43" s="167"/>
      <c r="B43" s="167"/>
      <c r="C43" s="167"/>
      <c r="D43" s="167"/>
    </row>
    <row r="44" spans="1:4" ht="15" customHeight="1">
      <c r="A44" s="167"/>
      <c r="B44" s="167"/>
      <c r="C44" s="167"/>
      <c r="D44" s="167"/>
    </row>
    <row r="45" spans="1:4" ht="15" customHeight="1">
      <c r="A45" s="167"/>
      <c r="B45" s="167"/>
      <c r="C45" s="167"/>
      <c r="D45" s="167"/>
    </row>
    <row r="46" spans="1:4" ht="15" customHeight="1">
      <c r="A46" s="167"/>
      <c r="B46" s="167"/>
      <c r="C46" s="167"/>
      <c r="D46" s="167"/>
    </row>
    <row r="47" spans="1:4" ht="15" customHeight="1">
      <c r="A47" s="167"/>
      <c r="B47" s="167"/>
      <c r="C47" s="167"/>
      <c r="D47" s="167"/>
    </row>
    <row r="48" spans="1:4" ht="15" customHeight="1">
      <c r="A48" s="167"/>
      <c r="B48" s="167"/>
      <c r="C48" s="167"/>
      <c r="D48" s="167"/>
    </row>
    <row r="49" spans="1:4" ht="15" customHeight="1">
      <c r="A49" s="167"/>
      <c r="B49" s="167"/>
      <c r="C49" s="167"/>
      <c r="D49" s="167"/>
    </row>
    <row r="50" spans="1:4" ht="15" customHeight="1">
      <c r="A50" s="167"/>
      <c r="B50" s="167"/>
      <c r="C50" s="167"/>
      <c r="D50" s="167"/>
    </row>
    <row r="51" spans="1:4" ht="15" customHeight="1">
      <c r="A51" s="167"/>
      <c r="B51" s="167"/>
      <c r="C51" s="167"/>
      <c r="D51" s="167"/>
    </row>
    <row r="52" spans="1:4" ht="15" customHeight="1">
      <c r="A52" s="167"/>
      <c r="B52" s="167"/>
      <c r="C52" s="167"/>
      <c r="D52" s="167"/>
    </row>
    <row r="53" spans="1:4" ht="15" customHeight="1">
      <c r="A53" s="167"/>
      <c r="B53" s="167"/>
      <c r="C53" s="167"/>
      <c r="D53" s="167"/>
    </row>
    <row r="54" spans="1:4" ht="15" customHeight="1">
      <c r="A54" s="167"/>
      <c r="B54" s="167"/>
      <c r="C54" s="167"/>
      <c r="D54" s="167"/>
    </row>
    <row r="55" spans="1:4" ht="15" customHeight="1">
      <c r="A55" s="167"/>
      <c r="B55" s="167"/>
      <c r="C55" s="167"/>
      <c r="D55" s="167"/>
    </row>
    <row r="56" spans="1:4" ht="15" customHeight="1">
      <c r="A56" s="167"/>
      <c r="B56" s="167"/>
      <c r="C56" s="167"/>
      <c r="D56" s="167"/>
    </row>
    <row r="57" spans="1:4" ht="15" customHeight="1">
      <c r="A57" s="167"/>
      <c r="B57" s="167"/>
      <c r="C57" s="167"/>
      <c r="D57" s="167"/>
    </row>
    <row r="58" spans="1:4" ht="15" customHeight="1">
      <c r="A58" s="167"/>
      <c r="B58" s="167"/>
      <c r="C58" s="167"/>
      <c r="D58" s="167"/>
    </row>
    <row r="59" spans="1:4" ht="15" customHeight="1">
      <c r="A59" s="167"/>
      <c r="B59" s="167"/>
      <c r="C59" s="167"/>
      <c r="D59" s="167"/>
    </row>
    <row r="60" spans="1:4" ht="15" customHeight="1">
      <c r="A60" s="167"/>
      <c r="B60" s="167"/>
      <c r="C60" s="167"/>
      <c r="D60" s="167"/>
    </row>
    <row r="61" spans="1:4" ht="15" customHeight="1">
      <c r="A61" s="167"/>
      <c r="B61" s="167"/>
      <c r="C61" s="167"/>
      <c r="D61" s="167"/>
    </row>
    <row r="62" spans="1:4" ht="15" customHeight="1">
      <c r="A62" s="167"/>
      <c r="B62" s="167"/>
      <c r="C62" s="167"/>
      <c r="D62" s="167"/>
    </row>
    <row r="63" spans="1:4" ht="15" customHeight="1">
      <c r="A63" s="167"/>
      <c r="B63" s="167"/>
      <c r="C63" s="167"/>
      <c r="D63" s="167"/>
    </row>
    <row r="64" spans="1:4" ht="15" customHeight="1">
      <c r="A64" s="167"/>
      <c r="B64" s="167"/>
      <c r="C64" s="167"/>
      <c r="D64" s="167"/>
    </row>
    <row r="65" spans="1:4" ht="15" customHeight="1">
      <c r="A65" s="167"/>
      <c r="B65" s="167"/>
      <c r="C65" s="167"/>
      <c r="D65" s="167"/>
    </row>
    <row r="66" spans="1:4" ht="15" customHeight="1">
      <c r="A66" s="167"/>
      <c r="B66" s="167"/>
      <c r="C66" s="167"/>
      <c r="D66" s="167"/>
    </row>
    <row r="67" spans="1:4" ht="15" customHeight="1">
      <c r="A67" s="167"/>
      <c r="B67" s="167"/>
      <c r="C67" s="167"/>
      <c r="D67" s="167"/>
    </row>
    <row r="68" spans="1:4" ht="15" customHeight="1">
      <c r="A68" s="167"/>
      <c r="B68" s="167"/>
      <c r="C68" s="167"/>
      <c r="D68" s="167"/>
    </row>
    <row r="69" spans="1:4" ht="15" customHeight="1">
      <c r="A69" s="167"/>
      <c r="B69" s="167"/>
      <c r="C69" s="167"/>
      <c r="D69" s="167"/>
    </row>
    <row r="70" spans="1:4" ht="15" customHeight="1">
      <c r="A70" s="167"/>
      <c r="B70" s="167"/>
      <c r="C70" s="167"/>
      <c r="D70" s="167"/>
    </row>
    <row r="71" spans="1:4" ht="15" customHeight="1">
      <c r="A71" s="167"/>
      <c r="B71" s="167"/>
      <c r="C71" s="167"/>
      <c r="D71" s="167"/>
    </row>
    <row r="72" spans="1:4" ht="15" customHeight="1">
      <c r="A72" s="167"/>
      <c r="B72" s="167"/>
      <c r="C72" s="167"/>
      <c r="D72" s="167"/>
    </row>
    <row r="73" spans="1:4" ht="15" customHeight="1">
      <c r="A73" s="167"/>
      <c r="B73" s="167"/>
      <c r="C73" s="167"/>
      <c r="D73" s="167"/>
    </row>
    <row r="74" spans="1:4" ht="15" customHeight="1">
      <c r="A74" s="167"/>
      <c r="B74" s="167"/>
      <c r="C74" s="167"/>
      <c r="D74" s="167"/>
    </row>
    <row r="75" spans="1:4" ht="15" customHeight="1">
      <c r="A75" s="167"/>
      <c r="B75" s="167"/>
      <c r="C75" s="167"/>
      <c r="D75" s="167"/>
    </row>
    <row r="76" spans="1:4" ht="15" customHeight="1">
      <c r="A76" s="167"/>
      <c r="B76" s="167"/>
      <c r="C76" s="167"/>
      <c r="D76" s="167"/>
    </row>
    <row r="77" spans="1:4" ht="15" customHeight="1">
      <c r="A77" s="167"/>
      <c r="B77" s="167"/>
      <c r="C77" s="167"/>
      <c r="D77" s="167"/>
    </row>
    <row r="78" spans="1:4" ht="15" customHeight="1">
      <c r="A78" s="167"/>
      <c r="B78" s="167"/>
      <c r="C78" s="167"/>
      <c r="D78" s="167"/>
    </row>
    <row r="79" spans="1:4" ht="15" customHeight="1">
      <c r="A79" s="167"/>
      <c r="B79" s="167"/>
      <c r="C79" s="167"/>
      <c r="D79" s="167"/>
    </row>
    <row r="80" spans="1:4" ht="15" customHeight="1">
      <c r="A80" s="167"/>
      <c r="B80" s="167"/>
      <c r="C80" s="167"/>
      <c r="D80" s="167"/>
    </row>
    <row r="81" spans="1:4" ht="15" customHeight="1">
      <c r="A81" s="167"/>
      <c r="B81" s="167"/>
      <c r="C81" s="167"/>
      <c r="D81" s="167"/>
    </row>
    <row r="82" spans="1:4" ht="15" customHeight="1">
      <c r="A82" s="167"/>
      <c r="B82" s="167"/>
      <c r="C82" s="167"/>
      <c r="D82" s="167"/>
    </row>
    <row r="83" spans="1:4" ht="15" customHeight="1">
      <c r="A83" s="167"/>
      <c r="B83" s="167"/>
      <c r="C83" s="167"/>
      <c r="D83" s="167"/>
    </row>
    <row r="84" spans="1:4" ht="15" customHeight="1">
      <c r="A84" s="167"/>
      <c r="B84" s="167"/>
      <c r="C84" s="167"/>
      <c r="D84" s="167"/>
    </row>
    <row r="85" spans="1:4" ht="15" customHeight="1">
      <c r="A85" s="167"/>
      <c r="B85" s="167"/>
      <c r="C85" s="167"/>
      <c r="D85" s="167"/>
    </row>
    <row r="86" spans="1:4" ht="15" customHeight="1">
      <c r="A86" s="167"/>
      <c r="B86" s="167"/>
      <c r="C86" s="167"/>
      <c r="D86" s="167"/>
    </row>
    <row r="87" spans="1:4" ht="15" customHeight="1">
      <c r="A87" s="66"/>
      <c r="B87" s="66"/>
      <c r="C87" s="66"/>
      <c r="D87" s="66"/>
    </row>
    <row r="88" spans="1:4" ht="15" customHeight="1">
      <c r="A88" s="66"/>
      <c r="B88" s="66"/>
      <c r="C88" s="66"/>
      <c r="D88" s="66"/>
    </row>
    <row r="89" spans="1:4" ht="15" customHeight="1">
      <c r="A89" s="66"/>
      <c r="B89" s="66"/>
      <c r="C89" s="66"/>
      <c r="D89" s="66"/>
    </row>
    <row r="90" spans="1:4" ht="15" customHeight="1">
      <c r="A90" s="66"/>
      <c r="B90" s="66"/>
      <c r="C90" s="66"/>
      <c r="D90" s="66"/>
    </row>
  </sheetData>
  <mergeCells count="24">
    <mergeCell ref="A41:D86"/>
    <mergeCell ref="H27:J27"/>
    <mergeCell ref="K27:M27"/>
    <mergeCell ref="N27:P27"/>
    <mergeCell ref="Q27:S27"/>
    <mergeCell ref="E27:G27"/>
    <mergeCell ref="T26:U26"/>
    <mergeCell ref="V26:W26"/>
    <mergeCell ref="K26:L26"/>
    <mergeCell ref="N26:O26"/>
    <mergeCell ref="Q26:R26"/>
    <mergeCell ref="AG6:AH6"/>
    <mergeCell ref="E5:G5"/>
    <mergeCell ref="H5:J5"/>
    <mergeCell ref="K5:M5"/>
    <mergeCell ref="N5:P5"/>
    <mergeCell ref="Q5:S5"/>
    <mergeCell ref="A1:D5"/>
    <mergeCell ref="A26:C26"/>
    <mergeCell ref="A13:A17"/>
    <mergeCell ref="A18:A19"/>
    <mergeCell ref="A20:A22"/>
    <mergeCell ref="A23:A25"/>
    <mergeCell ref="A8:A10"/>
  </mergeCells>
  <dataValidations count="1">
    <dataValidation type="list" allowBlank="1" showInputMessage="1" showErrorMessage="1" sqref="K7:K25 E7:E25 N7:N25 Q7:Q25 H7:H25" xr:uid="{9FA2F311-D85C-461A-BD65-88A9D3C0716A}">
      <formula1>$AG$13:$AG$16</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2F5C-B24E-4E7D-B1ED-9F7CC8DC1CEA}">
  <dimension ref="A1:F55"/>
  <sheetViews>
    <sheetView tabSelected="1" workbookViewId="0">
      <selection activeCell="F33" sqref="F33"/>
    </sheetView>
  </sheetViews>
  <sheetFormatPr defaultRowHeight="14.5"/>
  <cols>
    <col min="1" max="1" width="34.7265625" customWidth="1"/>
    <col min="3" max="3" width="9.81640625" customWidth="1"/>
    <col min="4" max="4" width="11.1796875" customWidth="1"/>
    <col min="5" max="5" width="33.1796875" customWidth="1"/>
    <col min="6" max="6" width="44.453125" customWidth="1"/>
  </cols>
  <sheetData>
    <row r="1" spans="1:6">
      <c r="A1" s="1"/>
      <c r="B1" s="1"/>
      <c r="C1" s="1"/>
      <c r="D1" s="1"/>
    </row>
    <row r="2" spans="1:6" ht="15">
      <c r="A2" s="1" t="s">
        <v>119</v>
      </c>
      <c r="D2" s="61"/>
    </row>
    <row r="3" spans="1:6">
      <c r="A3" s="62"/>
      <c r="D3" s="63"/>
    </row>
    <row r="4" spans="1:6" ht="29">
      <c r="A4" s="14" t="s">
        <v>120</v>
      </c>
      <c r="C4" s="174" t="s">
        <v>115</v>
      </c>
      <c r="D4" s="176" t="s">
        <v>121</v>
      </c>
      <c r="E4" s="135" t="s">
        <v>122</v>
      </c>
      <c r="F4" s="134" t="s">
        <v>123</v>
      </c>
    </row>
    <row r="5" spans="1:6">
      <c r="A5" s="13"/>
      <c r="C5" s="175"/>
      <c r="D5" s="177"/>
      <c r="E5" s="190" t="s">
        <v>124</v>
      </c>
      <c r="F5" s="187" t="s">
        <v>125</v>
      </c>
    </row>
    <row r="6" spans="1:6">
      <c r="A6" s="13"/>
      <c r="C6" s="175"/>
      <c r="D6" s="177"/>
      <c r="E6" s="191"/>
      <c r="F6" s="188"/>
    </row>
    <row r="7" spans="1:6">
      <c r="A7" s="13"/>
      <c r="C7" s="175"/>
      <c r="D7" s="177"/>
      <c r="E7" s="191"/>
      <c r="F7" s="188"/>
    </row>
    <row r="8" spans="1:6">
      <c r="A8" s="13"/>
      <c r="C8" s="175"/>
      <c r="D8" s="177"/>
      <c r="E8" s="191"/>
      <c r="F8" s="188"/>
    </row>
    <row r="9" spans="1:6">
      <c r="A9" s="13"/>
      <c r="C9" s="175"/>
      <c r="D9" s="177"/>
      <c r="E9" s="192"/>
      <c r="F9" s="189"/>
    </row>
    <row r="10" spans="1:6">
      <c r="A10" s="13"/>
      <c r="C10" s="175"/>
      <c r="D10" s="178" t="s">
        <v>126</v>
      </c>
      <c r="E10" s="136" t="s">
        <v>127</v>
      </c>
      <c r="F10" s="138" t="s">
        <v>128</v>
      </c>
    </row>
    <row r="11" spans="1:6">
      <c r="A11" s="13"/>
      <c r="C11" s="175"/>
      <c r="D11" s="178"/>
      <c r="E11" s="193" t="s">
        <v>129</v>
      </c>
      <c r="F11" s="196" t="s">
        <v>130</v>
      </c>
    </row>
    <row r="12" spans="1:6">
      <c r="A12" s="13"/>
      <c r="C12" s="175"/>
      <c r="D12" s="178"/>
      <c r="E12" s="194"/>
      <c r="F12" s="197"/>
    </row>
    <row r="13" spans="1:6">
      <c r="A13" s="13"/>
      <c r="C13" s="175"/>
      <c r="D13" s="178"/>
      <c r="E13" s="194"/>
      <c r="F13" s="197"/>
    </row>
    <row r="14" spans="1:6">
      <c r="A14" s="13"/>
      <c r="C14" s="175"/>
      <c r="D14" s="178"/>
      <c r="E14" s="194"/>
      <c r="F14" s="197"/>
    </row>
    <row r="15" spans="1:6">
      <c r="A15" s="13"/>
      <c r="C15" s="175"/>
      <c r="D15" s="178"/>
      <c r="E15" s="194"/>
      <c r="F15" s="197"/>
    </row>
    <row r="16" spans="1:6">
      <c r="A16" s="13"/>
      <c r="C16" s="175"/>
      <c r="D16" s="178"/>
      <c r="E16" s="195"/>
      <c r="F16" s="198"/>
    </row>
    <row r="17" spans="1:6">
      <c r="A17" s="13"/>
      <c r="C17" s="179"/>
      <c r="D17" s="180"/>
      <c r="E17" s="185" t="s">
        <v>126</v>
      </c>
      <c r="F17" s="172" t="s">
        <v>131</v>
      </c>
    </row>
    <row r="18" spans="1:6">
      <c r="A18" s="13"/>
      <c r="C18" s="181"/>
      <c r="D18" s="182"/>
      <c r="E18" s="186"/>
      <c r="F18" s="173"/>
    </row>
    <row r="19" spans="1:6">
      <c r="A19" s="13"/>
      <c r="C19" s="181"/>
      <c r="D19" s="182"/>
      <c r="E19" s="186"/>
      <c r="F19" s="173"/>
    </row>
    <row r="20" spans="1:6">
      <c r="A20" s="137"/>
      <c r="C20" s="181"/>
      <c r="D20" s="182"/>
      <c r="E20" s="199" t="s">
        <v>71</v>
      </c>
      <c r="F20" s="200"/>
    </row>
    <row r="21" spans="1:6">
      <c r="A21" s="64"/>
      <c r="C21" s="183"/>
      <c r="D21" s="184"/>
      <c r="E21" s="201"/>
      <c r="F21" s="202"/>
    </row>
    <row r="22" spans="1:6">
      <c r="D22" s="65"/>
    </row>
    <row r="25" spans="1:6" ht="15" customHeight="1">
      <c r="A25" s="171" t="s">
        <v>132</v>
      </c>
      <c r="B25" s="171"/>
      <c r="C25" s="171"/>
      <c r="D25" s="171"/>
      <c r="E25" s="6"/>
    </row>
    <row r="26" spans="1:6" ht="18" customHeight="1">
      <c r="A26" s="171"/>
      <c r="B26" s="171"/>
      <c r="C26" s="171"/>
      <c r="D26" s="171"/>
      <c r="E26" s="6"/>
    </row>
    <row r="27" spans="1:6" ht="15" customHeight="1">
      <c r="A27" s="171"/>
      <c r="B27" s="171"/>
      <c r="C27" s="171"/>
      <c r="D27" s="171"/>
      <c r="E27" s="6"/>
    </row>
    <row r="28" spans="1:6" ht="15" customHeight="1">
      <c r="A28" s="171"/>
      <c r="B28" s="171"/>
      <c r="C28" s="171"/>
      <c r="D28" s="171"/>
      <c r="E28" s="6"/>
    </row>
    <row r="29" spans="1:6" ht="15" customHeight="1">
      <c r="A29" s="171"/>
      <c r="B29" s="171"/>
      <c r="C29" s="171"/>
      <c r="D29" s="171"/>
      <c r="E29" s="6"/>
    </row>
    <row r="30" spans="1:6" ht="15" customHeight="1">
      <c r="A30" s="171"/>
      <c r="B30" s="171"/>
      <c r="C30" s="171"/>
      <c r="D30" s="171"/>
      <c r="E30" s="6"/>
    </row>
    <row r="31" spans="1:6" ht="15" customHeight="1">
      <c r="A31" s="171"/>
      <c r="B31" s="171"/>
      <c r="C31" s="171"/>
      <c r="D31" s="171"/>
      <c r="E31" s="6"/>
    </row>
    <row r="32" spans="1:6" ht="18" customHeight="1">
      <c r="A32" s="171"/>
      <c r="B32" s="171"/>
      <c r="C32" s="171"/>
      <c r="D32" s="171"/>
      <c r="E32" s="6"/>
    </row>
    <row r="33" spans="1:5" ht="15" customHeight="1">
      <c r="A33" s="171"/>
      <c r="B33" s="171"/>
      <c r="C33" s="171"/>
      <c r="D33" s="171"/>
      <c r="E33" s="6"/>
    </row>
    <row r="34" spans="1:5" ht="15" customHeight="1">
      <c r="A34" s="171"/>
      <c r="B34" s="171"/>
      <c r="C34" s="171"/>
      <c r="D34" s="171"/>
      <c r="E34" s="6"/>
    </row>
    <row r="35" spans="1:5" ht="15" customHeight="1">
      <c r="A35" s="171"/>
      <c r="B35" s="171"/>
      <c r="C35" s="171"/>
      <c r="D35" s="171"/>
      <c r="E35" s="6"/>
    </row>
    <row r="36" spans="1:5" ht="15" customHeight="1">
      <c r="A36" s="171"/>
      <c r="B36" s="171"/>
      <c r="C36" s="171"/>
      <c r="D36" s="171"/>
      <c r="E36" s="6"/>
    </row>
    <row r="37" spans="1:5" ht="15" customHeight="1">
      <c r="A37" s="171"/>
      <c r="B37" s="171"/>
      <c r="C37" s="171"/>
      <c r="D37" s="171"/>
      <c r="E37" s="6"/>
    </row>
    <row r="38" spans="1:5" ht="18" customHeight="1">
      <c r="A38" s="171"/>
      <c r="B38" s="171"/>
      <c r="C38" s="171"/>
      <c r="D38" s="171"/>
      <c r="E38" s="6"/>
    </row>
    <row r="39" spans="1:5" ht="15" customHeight="1">
      <c r="A39" s="171"/>
      <c r="B39" s="171"/>
      <c r="C39" s="171"/>
      <c r="D39" s="171"/>
    </row>
    <row r="40" spans="1:5" ht="15" customHeight="1">
      <c r="A40" s="171"/>
      <c r="B40" s="171"/>
      <c r="C40" s="171"/>
      <c r="D40" s="171"/>
    </row>
    <row r="41" spans="1:5" ht="15" customHeight="1">
      <c r="A41" s="171"/>
      <c r="B41" s="171"/>
      <c r="C41" s="171"/>
      <c r="D41" s="171"/>
    </row>
    <row r="42" spans="1:5" ht="15" customHeight="1">
      <c r="A42" s="171"/>
      <c r="B42" s="171"/>
      <c r="C42" s="171"/>
      <c r="D42" s="171"/>
    </row>
    <row r="43" spans="1:5" ht="15" customHeight="1">
      <c r="A43" s="171"/>
      <c r="B43" s="171"/>
      <c r="C43" s="171"/>
      <c r="D43" s="171"/>
    </row>
    <row r="44" spans="1:5" ht="18" customHeight="1">
      <c r="A44" s="171"/>
      <c r="B44" s="171"/>
      <c r="C44" s="171"/>
      <c r="D44" s="171"/>
    </row>
    <row r="45" spans="1:5" ht="15" customHeight="1">
      <c r="A45" s="171"/>
      <c r="B45" s="171"/>
      <c r="C45" s="171"/>
      <c r="D45" s="171"/>
    </row>
    <row r="46" spans="1:5" ht="15" customHeight="1">
      <c r="A46" s="171"/>
      <c r="B46" s="171"/>
      <c r="C46" s="171"/>
      <c r="D46" s="171"/>
    </row>
    <row r="47" spans="1:5" ht="15" customHeight="1">
      <c r="A47" s="171"/>
      <c r="B47" s="171"/>
      <c r="C47" s="171"/>
      <c r="D47" s="171"/>
    </row>
    <row r="48" spans="1:5" ht="15" customHeight="1">
      <c r="A48" s="171"/>
      <c r="B48" s="171"/>
      <c r="C48" s="171"/>
      <c r="D48" s="171"/>
    </row>
    <row r="49" spans="1:4" ht="15" customHeight="1">
      <c r="A49" s="171"/>
      <c r="B49" s="171"/>
      <c r="C49" s="171"/>
      <c r="D49" s="171"/>
    </row>
    <row r="50" spans="1:4" ht="15" customHeight="1">
      <c r="A50" s="171"/>
      <c r="B50" s="171"/>
      <c r="C50" s="171"/>
      <c r="D50" s="171"/>
    </row>
    <row r="51" spans="1:4" ht="15" customHeight="1">
      <c r="A51" s="171"/>
      <c r="B51" s="171"/>
      <c r="C51" s="171"/>
      <c r="D51" s="171"/>
    </row>
    <row r="52" spans="1:4" ht="15" customHeight="1">
      <c r="A52" s="171"/>
      <c r="B52" s="171"/>
      <c r="C52" s="171"/>
      <c r="D52" s="171"/>
    </row>
    <row r="53" spans="1:4" ht="15" customHeight="1">
      <c r="A53" s="171"/>
      <c r="B53" s="171"/>
      <c r="C53" s="171"/>
      <c r="D53" s="171"/>
    </row>
    <row r="54" spans="1:4" ht="15" customHeight="1">
      <c r="A54" s="171"/>
      <c r="B54" s="171"/>
      <c r="C54" s="171"/>
      <c r="D54" s="171"/>
    </row>
    <row r="55" spans="1:4" ht="50.25" customHeight="1">
      <c r="A55" s="171"/>
      <c r="B55" s="171"/>
      <c r="C55" s="171"/>
      <c r="D55" s="171"/>
    </row>
  </sheetData>
  <mergeCells count="12">
    <mergeCell ref="A25:D55"/>
    <mergeCell ref="F17:F19"/>
    <mergeCell ref="C4:C16"/>
    <mergeCell ref="D4:D9"/>
    <mergeCell ref="D10:D16"/>
    <mergeCell ref="C17:D21"/>
    <mergeCell ref="E17:E19"/>
    <mergeCell ref="F5:F9"/>
    <mergeCell ref="E5:E9"/>
    <mergeCell ref="E11:E16"/>
    <mergeCell ref="F11:F16"/>
    <mergeCell ref="E20:F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04CAA-7949-45CC-9482-7045B29C8D23}">
  <dimension ref="A1:I15"/>
  <sheetViews>
    <sheetView zoomScale="110" zoomScaleNormal="110" workbookViewId="0">
      <selection activeCell="D19" sqref="D19"/>
    </sheetView>
  </sheetViews>
  <sheetFormatPr defaultRowHeight="14.5"/>
  <cols>
    <col min="1" max="1" width="28" customWidth="1"/>
    <col min="2" max="2" width="18.7265625" customWidth="1"/>
    <col min="3" max="3" width="6.1796875" customWidth="1"/>
    <col min="4" max="4" width="36.453125" customWidth="1"/>
    <col min="5" max="5" width="41.1796875" bestFit="1" customWidth="1"/>
    <col min="8" max="8" width="21.7265625" bestFit="1" customWidth="1"/>
    <col min="9" max="9" width="101.26953125" customWidth="1"/>
  </cols>
  <sheetData>
    <row r="1" spans="1:9">
      <c r="A1" s="210" t="s">
        <v>133</v>
      </c>
      <c r="B1" s="210"/>
      <c r="C1" s="210"/>
      <c r="D1" s="210"/>
      <c r="E1" s="210"/>
      <c r="F1" s="1"/>
      <c r="G1" s="1"/>
      <c r="H1" s="1"/>
    </row>
    <row r="2" spans="1:9">
      <c r="A2" s="210"/>
      <c r="B2" s="210"/>
      <c r="C2" s="210"/>
      <c r="D2" s="210"/>
      <c r="E2" s="210"/>
    </row>
    <row r="3" spans="1:9">
      <c r="A3" s="210"/>
      <c r="B3" s="210"/>
      <c r="C3" s="210"/>
      <c r="D3" s="210"/>
      <c r="E3" s="210"/>
    </row>
    <row r="6" spans="1:9" ht="29">
      <c r="A6" s="14" t="s">
        <v>134</v>
      </c>
      <c r="B6" s="22"/>
      <c r="C6" s="30"/>
      <c r="D6" s="31"/>
      <c r="E6" s="31"/>
      <c r="F6" s="32"/>
      <c r="H6" s="15" t="s">
        <v>135</v>
      </c>
      <c r="I6" s="16"/>
    </row>
    <row r="7" spans="1:9" ht="29">
      <c r="A7" s="13"/>
      <c r="B7" s="7"/>
      <c r="C7" s="33"/>
      <c r="D7" s="21" t="s">
        <v>136</v>
      </c>
      <c r="E7" s="21" t="s">
        <v>137</v>
      </c>
      <c r="F7" s="34"/>
      <c r="H7" s="17" t="s">
        <v>138</v>
      </c>
      <c r="I7" s="18" t="s">
        <v>139</v>
      </c>
    </row>
    <row r="8" spans="1:9" ht="29.25" customHeight="1">
      <c r="A8" s="13"/>
      <c r="B8" s="7"/>
      <c r="C8" s="35"/>
      <c r="D8" s="207"/>
      <c r="E8" s="209"/>
      <c r="F8" s="34"/>
      <c r="H8" s="17" t="s">
        <v>140</v>
      </c>
      <c r="I8" s="18" t="s">
        <v>141</v>
      </c>
    </row>
    <row r="9" spans="1:9" ht="29">
      <c r="A9" s="13"/>
      <c r="B9" s="7"/>
      <c r="C9" s="35"/>
      <c r="D9" s="208"/>
      <c r="E9" s="208"/>
      <c r="F9" s="34"/>
      <c r="H9" s="17" t="s">
        <v>142</v>
      </c>
      <c r="I9" s="18" t="s">
        <v>143</v>
      </c>
    </row>
    <row r="10" spans="1:9" ht="29">
      <c r="A10" s="13"/>
      <c r="B10" s="7"/>
      <c r="C10" s="35"/>
      <c r="D10" s="28" t="s">
        <v>144</v>
      </c>
      <c r="E10" s="28" t="s">
        <v>145</v>
      </c>
      <c r="F10" s="34"/>
      <c r="H10" s="17" t="s">
        <v>146</v>
      </c>
      <c r="I10" s="18" t="s">
        <v>147</v>
      </c>
    </row>
    <row r="11" spans="1:9" ht="35.25" customHeight="1">
      <c r="A11" s="13"/>
      <c r="B11" s="7"/>
      <c r="C11" s="35"/>
      <c r="D11" s="205"/>
      <c r="E11" s="203"/>
      <c r="F11" s="34"/>
      <c r="H11" s="19" t="s">
        <v>148</v>
      </c>
      <c r="I11" s="20" t="s">
        <v>149</v>
      </c>
    </row>
    <row r="12" spans="1:9" ht="34.5" customHeight="1">
      <c r="A12" s="13"/>
      <c r="B12" s="7"/>
      <c r="C12" s="35"/>
      <c r="D12" s="206"/>
      <c r="E12" s="204"/>
      <c r="F12" s="34"/>
    </row>
    <row r="13" spans="1:9">
      <c r="C13" s="36"/>
      <c r="F13" s="34"/>
    </row>
    <row r="14" spans="1:9">
      <c r="C14" s="36"/>
      <c r="F14" s="34"/>
    </row>
    <row r="15" spans="1:9">
      <c r="C15" s="37"/>
      <c r="D15" s="38"/>
      <c r="E15" s="38"/>
      <c r="F15" s="39"/>
    </row>
  </sheetData>
  <mergeCells count="5">
    <mergeCell ref="E11:E12"/>
    <mergeCell ref="D11:D12"/>
    <mergeCell ref="D8:D9"/>
    <mergeCell ref="E8:E9"/>
    <mergeCell ref="A1:E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06d07b-1b3d-4ff2-b9d1-43d8bb9e6368">
      <Terms xmlns="http://schemas.microsoft.com/office/infopath/2007/PartnerControls"/>
    </lcf76f155ced4ddcb4097134ff3c332f>
    <TaxCatchAll xmlns="e96d93d7-55e3-45bc-ae56-7ac7b33b8ccc"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5E34ACB62C1342A8463DD490D385ED" ma:contentTypeVersion="15" ma:contentTypeDescription="Create a new document." ma:contentTypeScope="" ma:versionID="9dc0493834c944e870db2cc6c10f72e0">
  <xsd:schema xmlns:xsd="http://www.w3.org/2001/XMLSchema" xmlns:xs="http://www.w3.org/2001/XMLSchema" xmlns:p="http://schemas.microsoft.com/office/2006/metadata/properties" xmlns:ns2="fc06d07b-1b3d-4ff2-b9d1-43d8bb9e6368" xmlns:ns3="e96d93d7-55e3-45bc-ae56-7ac7b33b8ccc" targetNamespace="http://schemas.microsoft.com/office/2006/metadata/properties" ma:root="true" ma:fieldsID="dee9fab76e04875f68e179f32db04c67" ns2:_="" ns3:_="">
    <xsd:import namespace="fc06d07b-1b3d-4ff2-b9d1-43d8bb9e6368"/>
    <xsd:import namespace="e96d93d7-55e3-45bc-ae56-7ac7b33b8ccc"/>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06d07b-1b3d-4ff2-b9d1-43d8bb9e636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65aed29-76fb-43aa-b3f4-9c22e09c3261"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96d93d7-55e3-45bc-ae56-7ac7b33b8cc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68975c0-0edd-4108-a0f9-e272c3973c20}" ma:internalName="TaxCatchAll" ma:showField="CatchAllData" ma:web="e96d93d7-55e3-45bc-ae56-7ac7b33b8c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3D8A53-F112-4E68-933F-46BC10BFF0E7}">
  <ds:schemaRefs>
    <ds:schemaRef ds:uri="http://schemas.microsoft.com/office/2006/documentManagement/types"/>
    <ds:schemaRef ds:uri="http://schemas.openxmlformats.org/package/2006/metadata/core-properties"/>
    <ds:schemaRef ds:uri="e96d93d7-55e3-45bc-ae56-7ac7b33b8ccc"/>
    <ds:schemaRef ds:uri="http://purl.org/dc/elements/1.1/"/>
    <ds:schemaRef ds:uri="http://schemas.microsoft.com/office/2006/metadata/properties"/>
    <ds:schemaRef ds:uri="http://purl.org/dc/terms/"/>
    <ds:schemaRef ds:uri="http://schemas.microsoft.com/office/infopath/2007/PartnerControls"/>
    <ds:schemaRef ds:uri="fc06d07b-1b3d-4ff2-b9d1-43d8bb9e6368"/>
    <ds:schemaRef ds:uri="http://www.w3.org/XML/1998/namespace"/>
    <ds:schemaRef ds:uri="http://purl.org/dc/dcmitype/"/>
  </ds:schemaRefs>
</ds:datastoreItem>
</file>

<file path=customXml/itemProps2.xml><?xml version="1.0" encoding="utf-8"?>
<ds:datastoreItem xmlns:ds="http://schemas.openxmlformats.org/officeDocument/2006/customXml" ds:itemID="{961D1169-0050-4384-B39E-D5DB80ECCEEF}">
  <ds:schemaRefs>
    <ds:schemaRef ds:uri="http://schemas.microsoft.com/sharepoint/v3/contenttype/forms"/>
  </ds:schemaRefs>
</ds:datastoreItem>
</file>

<file path=customXml/itemProps3.xml><?xml version="1.0" encoding="utf-8"?>
<ds:datastoreItem xmlns:ds="http://schemas.openxmlformats.org/officeDocument/2006/customXml" ds:itemID="{D3498166-AB95-4814-851A-0AA98D7188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06d07b-1b3d-4ff2-b9d1-43d8bb9e6368"/>
    <ds:schemaRef ds:uri="e96d93d7-55e3-45bc-ae56-7ac7b33b8c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Identifying Key Partners</vt:lpstr>
      <vt:lpstr>Partnership Potential Analysis</vt:lpstr>
      <vt:lpstr>Partnership Balance Matrix</vt:lpstr>
      <vt:lpstr>SWOT</vt:lpstr>
    </vt:vector>
  </TitlesOfParts>
  <Manager/>
  <Company>Fauna &amp; Flora International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Vivian Hughes</dc:creator>
  <cp:keywords/>
  <dc:description/>
  <cp:lastModifiedBy>Amy Ainsworth</cp:lastModifiedBy>
  <cp:revision/>
  <dcterms:created xsi:type="dcterms:W3CDTF">2023-02-10T14:17:49Z</dcterms:created>
  <dcterms:modified xsi:type="dcterms:W3CDTF">2026-04-09T12:30:38Z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0x010100D25E34ACB62C1342A8463DD490D385ED</vt:lpwstr>
  </property>
  <property fmtid="{D5CDD505-2E9C-101B-9397-08002B2CF9AE}" pid="3" name="MediaServiceImageTags">
    <vt:lpwstr/>
  </property>
</Properties>
</file>